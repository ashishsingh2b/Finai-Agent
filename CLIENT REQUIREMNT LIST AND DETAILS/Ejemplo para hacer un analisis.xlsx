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19608276c881ee9/Documentos/Moskalti Capital/Moskalti Capital/Moskalti Capital - Credito 2025/.Archivos Analisis/Agente IA/"/>
    </mc:Choice>
  </mc:AlternateContent>
  <xr:revisionPtr revIDLastSave="216" documentId="13_ncr:1_{AB198BDE-442A-43DA-BC94-43057B50337A}" xr6:coauthVersionLast="47" xr6:coauthVersionMax="47" xr10:uidLastSave="{9D9C40A1-3A3E-4BEB-83B1-A40D4B0ACD7C}"/>
  <bookViews>
    <workbookView xWindow="-110" yWindow="-110" windowWidth="19420" windowHeight="10300" firstSheet="2" activeTab="4" xr2:uid="{00000000-000D-0000-FFFF-FFFF00000000}"/>
  </bookViews>
  <sheets>
    <sheet name="Du Pont" sheetId="10" state="hidden" r:id="rId1"/>
    <sheet name="Analiticas" sheetId="9" state="hidden" r:id="rId2"/>
    <sheet name="BG" sheetId="1" r:id="rId3"/>
    <sheet name="ER" sheetId="4" r:id="rId4"/>
    <sheet name="RF" sheetId="5" r:id="rId5"/>
    <sheet name="Modelo de Crédito" sheetId="6" r:id="rId6"/>
    <sheet name="Matriz de Credito y Tasas" sheetId="8" r:id="rId7"/>
  </sheets>
  <definedNames>
    <definedName name="_xlnm.Print_Area" localSheetId="5">'Modelo de Crédito'!$B$1:$J$73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5" l="1"/>
  <c r="B20" i="8"/>
  <c r="D23" i="8"/>
  <c r="C21" i="8"/>
  <c r="K30" i="4"/>
  <c r="J30" i="4"/>
  <c r="I30" i="4"/>
  <c r="K33" i="4"/>
  <c r="J33" i="4"/>
  <c r="I33" i="4"/>
  <c r="K32" i="4"/>
  <c r="K34" i="4"/>
  <c r="K35" i="4"/>
  <c r="G28" i="4"/>
  <c r="G32" i="4"/>
  <c r="G35" i="4"/>
  <c r="G29" i="5" s="1"/>
  <c r="K10" i="4"/>
  <c r="K12" i="4"/>
  <c r="K14" i="4"/>
  <c r="K16" i="4"/>
  <c r="K18" i="4"/>
  <c r="K21" i="4"/>
  <c r="K24" i="4"/>
  <c r="K25" i="4"/>
  <c r="K26" i="4"/>
  <c r="K28" i="4"/>
  <c r="G21" i="4"/>
  <c r="G32" i="5" s="1"/>
  <c r="G16" i="4"/>
  <c r="G14" i="4"/>
  <c r="K60" i="1"/>
  <c r="K61" i="1"/>
  <c r="K62" i="1"/>
  <c r="K63" i="1"/>
  <c r="J60" i="1"/>
  <c r="K56" i="1"/>
  <c r="K57" i="1"/>
  <c r="K59" i="1"/>
  <c r="J59" i="1"/>
  <c r="I59" i="1"/>
  <c r="K58" i="1"/>
  <c r="J58" i="1"/>
  <c r="I58" i="1"/>
  <c r="K54" i="1"/>
  <c r="J54" i="1"/>
  <c r="I54" i="1"/>
  <c r="K52" i="1"/>
  <c r="J52" i="1"/>
  <c r="I52" i="1"/>
  <c r="K35" i="1"/>
  <c r="K36" i="1"/>
  <c r="K37" i="1"/>
  <c r="K38" i="1"/>
  <c r="K39" i="1"/>
  <c r="K40" i="1"/>
  <c r="K41" i="1"/>
  <c r="K42" i="1"/>
  <c r="K44" i="1"/>
  <c r="K46" i="1"/>
  <c r="J44" i="1"/>
  <c r="I44" i="1"/>
  <c r="J41" i="1"/>
  <c r="I38" i="1"/>
  <c r="J38" i="1"/>
  <c r="I39" i="1"/>
  <c r="J39" i="1"/>
  <c r="I40" i="1"/>
  <c r="J40" i="1"/>
  <c r="I41" i="1"/>
  <c r="K28" i="1"/>
  <c r="I28" i="1"/>
  <c r="K25" i="1"/>
  <c r="J25" i="1"/>
  <c r="I25" i="1"/>
  <c r="K26" i="1"/>
  <c r="J26" i="1"/>
  <c r="I26" i="1"/>
  <c r="K27" i="1"/>
  <c r="J27" i="1"/>
  <c r="I27" i="1"/>
  <c r="J28" i="1"/>
  <c r="K29" i="1"/>
  <c r="J29" i="1"/>
  <c r="I29" i="1"/>
  <c r="K30" i="1"/>
  <c r="J30" i="1"/>
  <c r="I30" i="1"/>
  <c r="K31" i="1"/>
  <c r="K21" i="1"/>
  <c r="K23" i="1"/>
  <c r="K19" i="1"/>
  <c r="K11" i="1"/>
  <c r="K12" i="1"/>
  <c r="K13" i="1"/>
  <c r="K14" i="1"/>
  <c r="K15" i="1"/>
  <c r="K16" i="1"/>
  <c r="K17" i="1"/>
  <c r="K18" i="1"/>
  <c r="I16" i="1"/>
  <c r="J16" i="1"/>
  <c r="I17" i="1"/>
  <c r="J17" i="1"/>
  <c r="J13" i="1"/>
  <c r="I13" i="1"/>
  <c r="E67" i="1"/>
  <c r="F67" i="1"/>
  <c r="G65" i="1"/>
  <c r="G62" i="1"/>
  <c r="G63" i="1"/>
  <c r="G42" i="1"/>
  <c r="G46" i="1"/>
  <c r="G52" i="1"/>
  <c r="G54" i="1"/>
  <c r="G30" i="1"/>
  <c r="G31" i="1" s="1"/>
  <c r="G21" i="1"/>
  <c r="G28" i="5"/>
  <c r="G26" i="5"/>
  <c r="G21" i="5"/>
  <c r="G20" i="5"/>
  <c r="G19" i="5"/>
  <c r="G14" i="5"/>
  <c r="D21" i="5"/>
  <c r="D20" i="5"/>
  <c r="C47" i="6"/>
  <c r="C49" i="6"/>
  <c r="D68" i="6"/>
  <c r="G70" i="6"/>
  <c r="F70" i="6"/>
  <c r="E70" i="6"/>
  <c r="D70" i="6"/>
  <c r="G68" i="6"/>
  <c r="F68" i="6"/>
  <c r="E68" i="6"/>
  <c r="G66" i="6"/>
  <c r="F66" i="6"/>
  <c r="E66" i="6"/>
  <c r="D66" i="6"/>
  <c r="G64" i="6"/>
  <c r="F64" i="6"/>
  <c r="E64" i="6"/>
  <c r="D64" i="6"/>
  <c r="D62" i="6"/>
  <c r="G62" i="6"/>
  <c r="F62" i="6"/>
  <c r="C61" i="6" s="1"/>
  <c r="E62" i="6"/>
  <c r="D60" i="6"/>
  <c r="G60" i="6"/>
  <c r="F60" i="6"/>
  <c r="E60" i="6"/>
  <c r="G58" i="6"/>
  <c r="F58" i="6"/>
  <c r="E58" i="6"/>
  <c r="D56" i="6"/>
  <c r="D58" i="6"/>
  <c r="G56" i="6"/>
  <c r="F56" i="6"/>
  <c r="E56" i="6"/>
  <c r="D54" i="6"/>
  <c r="G54" i="6"/>
  <c r="F54" i="6"/>
  <c r="E54" i="6"/>
  <c r="D52" i="6"/>
  <c r="G52" i="6"/>
  <c r="F52" i="6"/>
  <c r="E52" i="6"/>
  <c r="G50" i="6"/>
  <c r="F50" i="6"/>
  <c r="E50" i="6"/>
  <c r="D50" i="6"/>
  <c r="G48" i="6"/>
  <c r="F48" i="6"/>
  <c r="E48" i="6"/>
  <c r="D48" i="6"/>
  <c r="G46" i="6"/>
  <c r="F46" i="6"/>
  <c r="E46" i="6"/>
  <c r="D46" i="6"/>
  <c r="D40" i="6"/>
  <c r="G40" i="6"/>
  <c r="C39" i="6" s="1"/>
  <c r="F40" i="6"/>
  <c r="E40" i="6"/>
  <c r="G38" i="6"/>
  <c r="F38" i="6"/>
  <c r="E38" i="6"/>
  <c r="D38" i="6"/>
  <c r="D36" i="6"/>
  <c r="G36" i="6"/>
  <c r="F36" i="6"/>
  <c r="E36" i="6"/>
  <c r="G34" i="6"/>
  <c r="F34" i="6"/>
  <c r="D34" i="6"/>
  <c r="E34" i="6"/>
  <c r="G32" i="6"/>
  <c r="F32" i="6"/>
  <c r="E32" i="6"/>
  <c r="D28" i="6"/>
  <c r="D30" i="6"/>
  <c r="D32" i="6"/>
  <c r="G30" i="6"/>
  <c r="F30" i="6"/>
  <c r="E30" i="6"/>
  <c r="G28" i="6"/>
  <c r="F28" i="6"/>
  <c r="E28" i="6"/>
  <c r="G26" i="6"/>
  <c r="F26" i="6"/>
  <c r="E26" i="6"/>
  <c r="D26" i="6"/>
  <c r="G34" i="5" l="1"/>
  <c r="G31" i="5"/>
  <c r="G30" i="5"/>
  <c r="G12" i="5"/>
  <c r="G15" i="5"/>
  <c r="G13" i="5" l="1"/>
  <c r="G27" i="5"/>
  <c r="G33" i="5"/>
  <c r="J34" i="4"/>
  <c r="I34" i="4"/>
  <c r="J26" i="4"/>
  <c r="I26" i="4"/>
  <c r="J25" i="4"/>
  <c r="I25" i="4"/>
  <c r="J24" i="4"/>
  <c r="I24" i="4"/>
  <c r="J18" i="4"/>
  <c r="I18" i="4"/>
  <c r="J12" i="4"/>
  <c r="I12" i="4"/>
  <c r="J10" i="4"/>
  <c r="I10" i="4"/>
  <c r="J61" i="1"/>
  <c r="I61" i="1"/>
  <c r="I60" i="1"/>
  <c r="J57" i="1"/>
  <c r="I57" i="1"/>
  <c r="J56" i="1"/>
  <c r="I56" i="1"/>
  <c r="J37" i="1"/>
  <c r="I37" i="1"/>
  <c r="J36" i="1"/>
  <c r="I36" i="1"/>
  <c r="J35" i="1"/>
  <c r="I35" i="1"/>
  <c r="J23" i="1"/>
  <c r="I23" i="1"/>
  <c r="J19" i="1"/>
  <c r="I19" i="1"/>
  <c r="J18" i="1"/>
  <c r="I18" i="1"/>
  <c r="J15" i="1"/>
  <c r="I15" i="1"/>
  <c r="J14" i="1"/>
  <c r="I14" i="1"/>
  <c r="J12" i="1"/>
  <c r="I12" i="1"/>
  <c r="J11" i="1"/>
  <c r="I11" i="1"/>
  <c r="E21" i="5" l="1"/>
  <c r="K21" i="5" s="1"/>
  <c r="C21" i="5"/>
  <c r="C20" i="5"/>
  <c r="D67" i="1" l="1"/>
  <c r="C67" i="1"/>
  <c r="F21" i="1" l="1"/>
  <c r="F28" i="5"/>
  <c r="M28" i="5" s="1"/>
  <c r="F21" i="5"/>
  <c r="M21" i="5" s="1"/>
  <c r="F20" i="5"/>
  <c r="M20" i="5" s="1"/>
  <c r="F19" i="5"/>
  <c r="M19" i="5" s="1"/>
  <c r="F52" i="1"/>
  <c r="F62" i="1"/>
  <c r="F46" i="1"/>
  <c r="F42" i="1"/>
  <c r="F30" i="1"/>
  <c r="F16" i="4"/>
  <c r="F14" i="4"/>
  <c r="C37" i="6"/>
  <c r="F14" i="5" l="1"/>
  <c r="M14" i="5" s="1"/>
  <c r="F21" i="4"/>
  <c r="F28" i="4" s="1"/>
  <c r="F30" i="5"/>
  <c r="M30" i="5" s="1"/>
  <c r="F54" i="1"/>
  <c r="F26" i="5"/>
  <c r="M26" i="5" s="1"/>
  <c r="F31" i="1"/>
  <c r="L21" i="5"/>
  <c r="E20" i="5"/>
  <c r="L20" i="5" s="1"/>
  <c r="D19" i="5"/>
  <c r="E19" i="5"/>
  <c r="C65" i="6"/>
  <c r="C63" i="6"/>
  <c r="C55" i="6"/>
  <c r="C53" i="6"/>
  <c r="C51" i="6"/>
  <c r="F32" i="5" l="1"/>
  <c r="M32" i="5" s="1"/>
  <c r="F32" i="4"/>
  <c r="F63" i="1"/>
  <c r="F65" i="1" s="1"/>
  <c r="L19" i="5"/>
  <c r="J58" i="6"/>
  <c r="F12" i="5"/>
  <c r="M12" i="5" s="1"/>
  <c r="F15" i="5"/>
  <c r="M15" i="5" s="1"/>
  <c r="K20" i="5"/>
  <c r="D30" i="5"/>
  <c r="E30" i="5"/>
  <c r="C33" i="6"/>
  <c r="C59" i="6"/>
  <c r="C35" i="6"/>
  <c r="J21" i="5"/>
  <c r="J20" i="5"/>
  <c r="F35" i="4" l="1"/>
  <c r="L30" i="5"/>
  <c r="J60" i="6"/>
  <c r="F13" i="5"/>
  <c r="M13" i="5" s="1"/>
  <c r="F27" i="5"/>
  <c r="M27" i="5" s="1"/>
  <c r="F29" i="5" l="1"/>
  <c r="F37" i="5" s="1"/>
  <c r="C45" i="6"/>
  <c r="C31" i="6"/>
  <c r="C25" i="6"/>
  <c r="F34" i="5" l="1"/>
  <c r="M34" i="5" s="1"/>
  <c r="M29" i="5"/>
  <c r="F31" i="5"/>
  <c r="M31" i="5" s="1"/>
  <c r="F33" i="5"/>
  <c r="M33" i="5" s="1"/>
  <c r="E21" i="1" l="1"/>
  <c r="J21" i="1" l="1"/>
  <c r="P21" i="8"/>
  <c r="C29" i="6" l="1"/>
  <c r="C69" i="6"/>
  <c r="C67" i="6"/>
  <c r="C57" i="6"/>
  <c r="C27" i="6" l="1"/>
  <c r="E30" i="1"/>
  <c r="D30" i="1"/>
  <c r="C30" i="1"/>
  <c r="C15" i="6" l="1"/>
  <c r="C19" i="5" l="1"/>
  <c r="B16" i="4"/>
  <c r="E16" i="4"/>
  <c r="D16" i="4"/>
  <c r="C16" i="4"/>
  <c r="I16" i="4" l="1"/>
  <c r="J16" i="4"/>
  <c r="J19" i="5"/>
  <c r="K19" i="5"/>
  <c r="E28" i="5"/>
  <c r="L28" i="5" s="1"/>
  <c r="E14" i="4"/>
  <c r="D14" i="4"/>
  <c r="C14" i="4"/>
  <c r="B14" i="4"/>
  <c r="E46" i="1"/>
  <c r="D46" i="1"/>
  <c r="C46" i="1"/>
  <c r="B46" i="1"/>
  <c r="I14" i="4" l="1"/>
  <c r="J14" i="4"/>
  <c r="I46" i="1"/>
  <c r="J46" i="1"/>
  <c r="Y24" i="8"/>
  <c r="Y25" i="8"/>
  <c r="Y26" i="8"/>
  <c r="Y27" i="8"/>
  <c r="Y23" i="8"/>
  <c r="W24" i="8"/>
  <c r="W25" i="8"/>
  <c r="W26" i="8"/>
  <c r="W27" i="8"/>
  <c r="W23" i="8"/>
  <c r="U24" i="8"/>
  <c r="U25" i="8"/>
  <c r="U26" i="8"/>
  <c r="U27" i="8"/>
  <c r="U23" i="8"/>
  <c r="S25" i="8"/>
  <c r="S24" i="8"/>
  <c r="Q27" i="8" l="1"/>
  <c r="Q24" i="8"/>
  <c r="S23" i="8"/>
  <c r="R23" i="8" s="1"/>
  <c r="Q25" i="8"/>
  <c r="S27" i="8"/>
  <c r="R27" i="8" s="1"/>
  <c r="S26" i="8"/>
  <c r="R26" i="8" s="1"/>
  <c r="Q23" i="8"/>
  <c r="Q26" i="8"/>
  <c r="B42" i="1"/>
  <c r="B25" i="1"/>
  <c r="B21" i="1"/>
  <c r="B21" i="4"/>
  <c r="B28" i="4" s="1"/>
  <c r="B32" i="4" s="1"/>
  <c r="B35" i="4" s="1"/>
  <c r="B61" i="1" s="1"/>
  <c r="B62" i="1" s="1"/>
  <c r="E52" i="1"/>
  <c r="E42" i="1"/>
  <c r="C42" i="1"/>
  <c r="D42" i="1"/>
  <c r="Z26" i="8"/>
  <c r="X27" i="8"/>
  <c r="V27" i="8"/>
  <c r="T27" i="8"/>
  <c r="X26" i="8"/>
  <c r="V26" i="8"/>
  <c r="T26" i="8"/>
  <c r="Z25" i="8"/>
  <c r="X25" i="8"/>
  <c r="V25" i="8"/>
  <c r="T25" i="8"/>
  <c r="R25" i="8"/>
  <c r="Z23" i="8"/>
  <c r="X24" i="8"/>
  <c r="V24" i="8"/>
  <c r="T24" i="8"/>
  <c r="R24" i="8"/>
  <c r="X23" i="8"/>
  <c r="V23" i="8"/>
  <c r="T23" i="8"/>
  <c r="C21" i="1"/>
  <c r="C31" i="1" s="1"/>
  <c r="C28" i="5"/>
  <c r="B28" i="5"/>
  <c r="B21" i="5"/>
  <c r="B20" i="5"/>
  <c r="D21" i="1"/>
  <c r="I21" i="1" s="1"/>
  <c r="D52" i="1"/>
  <c r="C52" i="1"/>
  <c r="B52" i="1"/>
  <c r="D28" i="5"/>
  <c r="B19" i="5"/>
  <c r="E31" i="1"/>
  <c r="C78" i="9"/>
  <c r="D78" i="9"/>
  <c r="E78" i="9"/>
  <c r="E93" i="9" s="1"/>
  <c r="C91" i="9"/>
  <c r="D91" i="9"/>
  <c r="E91" i="9"/>
  <c r="D21" i="9"/>
  <c r="E21" i="9"/>
  <c r="C21" i="9"/>
  <c r="D93" i="9"/>
  <c r="D52" i="9"/>
  <c r="E52" i="9"/>
  <c r="C52" i="9"/>
  <c r="C93" i="9"/>
  <c r="D14" i="6"/>
  <c r="C13" i="6" s="1"/>
  <c r="D50" i="10"/>
  <c r="D40" i="10"/>
  <c r="D19" i="10"/>
  <c r="D14" i="10"/>
  <c r="D9" i="10"/>
  <c r="D4" i="10"/>
  <c r="H31" i="10" s="1"/>
  <c r="E59" i="9"/>
  <c r="D59" i="9"/>
  <c r="C59" i="9"/>
  <c r="D20" i="6"/>
  <c r="E18" i="6"/>
  <c r="C17" i="6" s="1"/>
  <c r="A74" i="6"/>
  <c r="G25" i="8"/>
  <c r="N8" i="8" s="1"/>
  <c r="D25" i="8"/>
  <c r="K8" i="8" s="1"/>
  <c r="C25" i="8"/>
  <c r="J8" i="8" s="1"/>
  <c r="F24" i="8"/>
  <c r="M7" i="8" s="1"/>
  <c r="E24" i="8"/>
  <c r="L7" i="8" s="1"/>
  <c r="D24" i="8"/>
  <c r="K7" i="8" s="1"/>
  <c r="G23" i="8"/>
  <c r="N6" i="8" s="1"/>
  <c r="F23" i="8"/>
  <c r="M6" i="8" s="1"/>
  <c r="E23" i="8"/>
  <c r="L6" i="8" s="1"/>
  <c r="C23" i="8"/>
  <c r="J6" i="8"/>
  <c r="G22" i="8"/>
  <c r="N5" i="8" s="1"/>
  <c r="F22" i="8"/>
  <c r="M5" i="8" s="1"/>
  <c r="D22" i="8"/>
  <c r="K5" i="8" s="1"/>
  <c r="C22" i="8"/>
  <c r="J5" i="8" s="1"/>
  <c r="G21" i="8"/>
  <c r="N4" i="8" s="1"/>
  <c r="E21" i="8"/>
  <c r="L4" i="8" s="1"/>
  <c r="D21" i="8"/>
  <c r="K4" i="8" s="1"/>
  <c r="J4" i="8"/>
  <c r="F25" i="8"/>
  <c r="M8" i="8" s="1"/>
  <c r="G20" i="6"/>
  <c r="F20" i="6"/>
  <c r="E20" i="6"/>
  <c r="C19" i="6" s="1"/>
  <c r="G18" i="6"/>
  <c r="F18" i="6"/>
  <c r="D18" i="6"/>
  <c r="G16" i="6"/>
  <c r="F16" i="6"/>
  <c r="E16" i="6"/>
  <c r="D16" i="6"/>
  <c r="G14" i="6"/>
  <c r="F14" i="6"/>
  <c r="E14" i="6"/>
  <c r="G12" i="6"/>
  <c r="F12" i="6"/>
  <c r="E12" i="6"/>
  <c r="D12" i="6"/>
  <c r="C11" i="6" s="1"/>
  <c r="E25" i="8"/>
  <c r="L8" i="8"/>
  <c r="F21" i="8"/>
  <c r="M4" i="8" s="1"/>
  <c r="E22" i="8"/>
  <c r="L5" i="8" s="1"/>
  <c r="K6" i="8"/>
  <c r="C24" i="8"/>
  <c r="J7" i="8" s="1"/>
  <c r="G24" i="8"/>
  <c r="N7" i="8" s="1"/>
  <c r="I42" i="1" l="1"/>
  <c r="J42" i="1"/>
  <c r="E12" i="5"/>
  <c r="I31" i="1"/>
  <c r="J31" i="1"/>
  <c r="K28" i="5"/>
  <c r="J54" i="6" s="1"/>
  <c r="L12" i="5"/>
  <c r="J26" i="6"/>
  <c r="C73" i="6"/>
  <c r="C29" i="8" s="1"/>
  <c r="E26" i="5"/>
  <c r="J47" i="6" s="1"/>
  <c r="E15" i="5"/>
  <c r="D31" i="1"/>
  <c r="D26" i="5"/>
  <c r="J28" i="5"/>
  <c r="C12" i="5"/>
  <c r="C13" i="5" s="1"/>
  <c r="C54" i="1"/>
  <c r="B31" i="1"/>
  <c r="B12" i="5" s="1"/>
  <c r="B13" i="5" s="1"/>
  <c r="B54" i="1"/>
  <c r="B63" i="1" s="1"/>
  <c r="D21" i="4"/>
  <c r="D28" i="4" s="1"/>
  <c r="D32" i="4" s="1"/>
  <c r="I28" i="5"/>
  <c r="E54" i="1"/>
  <c r="H11" i="10"/>
  <c r="C26" i="5"/>
  <c r="C21" i="4"/>
  <c r="C28" i="4" s="1"/>
  <c r="C32" i="4" s="1"/>
  <c r="I20" i="5"/>
  <c r="E21" i="4"/>
  <c r="C30" i="5"/>
  <c r="H17" i="10"/>
  <c r="D54" i="1"/>
  <c r="D45" i="10"/>
  <c r="H48" i="10" s="1"/>
  <c r="I21" i="5"/>
  <c r="D35" i="10"/>
  <c r="H37" i="10" s="1"/>
  <c r="L34" i="10" s="1"/>
  <c r="Z24" i="8"/>
  <c r="B26" i="5"/>
  <c r="B30" i="5"/>
  <c r="B32" i="5"/>
  <c r="I19" i="5"/>
  <c r="I21" i="4" l="1"/>
  <c r="J21" i="4"/>
  <c r="D15" i="5"/>
  <c r="L15" i="5"/>
  <c r="J32" i="6"/>
  <c r="L26" i="5"/>
  <c r="K26" i="5"/>
  <c r="K15" i="5"/>
  <c r="J30" i="5"/>
  <c r="K30" i="5"/>
  <c r="J26" i="5"/>
  <c r="D35" i="4"/>
  <c r="C15" i="5"/>
  <c r="J15" i="5" s="1"/>
  <c r="B15" i="5"/>
  <c r="C35" i="4"/>
  <c r="B65" i="1"/>
  <c r="E28" i="4"/>
  <c r="E32" i="5"/>
  <c r="D32" i="5"/>
  <c r="D12" i="5"/>
  <c r="D13" i="5" s="1"/>
  <c r="J13" i="5" s="1"/>
  <c r="L14" i="10"/>
  <c r="P24" i="10" s="1"/>
  <c r="I26" i="5"/>
  <c r="C32" i="5"/>
  <c r="I30" i="5"/>
  <c r="I13" i="5"/>
  <c r="C27" i="5"/>
  <c r="I12" i="5"/>
  <c r="B27" i="5"/>
  <c r="B29" i="5"/>
  <c r="E32" i="4" l="1"/>
  <c r="I28" i="4"/>
  <c r="J28" i="4"/>
  <c r="L32" i="5"/>
  <c r="J65" i="6"/>
  <c r="J32" i="5"/>
  <c r="K32" i="5"/>
  <c r="E13" i="5"/>
  <c r="J28" i="6" s="1"/>
  <c r="D29" i="5"/>
  <c r="J12" i="5"/>
  <c r="I15" i="5"/>
  <c r="C29" i="5"/>
  <c r="C33" i="5" s="1"/>
  <c r="K12" i="5"/>
  <c r="E62" i="1"/>
  <c r="E27" i="5"/>
  <c r="J52" i="6" s="1"/>
  <c r="D27" i="5"/>
  <c r="I32" i="5"/>
  <c r="I27" i="5"/>
  <c r="B14" i="5"/>
  <c r="B33" i="5"/>
  <c r="B31" i="5"/>
  <c r="B34" i="5"/>
  <c r="D37" i="5" l="1"/>
  <c r="E40" i="5"/>
  <c r="F40" i="5" s="1"/>
  <c r="J32" i="4"/>
  <c r="I32" i="4"/>
  <c r="E35" i="4"/>
  <c r="E29" i="5" s="1"/>
  <c r="I62" i="1"/>
  <c r="J62" i="1"/>
  <c r="E14" i="5"/>
  <c r="L14" i="5" s="1"/>
  <c r="K13" i="5"/>
  <c r="L13" i="5"/>
  <c r="L27" i="5"/>
  <c r="K27" i="5"/>
  <c r="J27" i="5"/>
  <c r="J29" i="5"/>
  <c r="D31" i="5"/>
  <c r="D33" i="5"/>
  <c r="J33" i="5" s="1"/>
  <c r="C62" i="1"/>
  <c r="C14" i="5" s="1"/>
  <c r="D62" i="1"/>
  <c r="I29" i="5"/>
  <c r="C31" i="5"/>
  <c r="I33" i="5"/>
  <c r="E63" i="1"/>
  <c r="E41" i="5" l="1"/>
  <c r="F41" i="5" s="1"/>
  <c r="E37" i="5"/>
  <c r="K29" i="5"/>
  <c r="J56" i="6" s="1"/>
  <c r="L29" i="5"/>
  <c r="E33" i="5"/>
  <c r="L33" i="5" s="1"/>
  <c r="E34" i="5"/>
  <c r="E31" i="5"/>
  <c r="J49" i="6"/>
  <c r="J35" i="4"/>
  <c r="I35" i="4"/>
  <c r="D14" i="5"/>
  <c r="K14" i="5" s="1"/>
  <c r="J30" i="6" s="1"/>
  <c r="E65" i="1"/>
  <c r="I63" i="1"/>
  <c r="J63" i="1"/>
  <c r="J69" i="6"/>
  <c r="L34" i="5"/>
  <c r="J67" i="6"/>
  <c r="L31" i="5"/>
  <c r="J63" i="6"/>
  <c r="J31" i="5"/>
  <c r="K31" i="5"/>
  <c r="K33" i="5"/>
  <c r="I14" i="5"/>
  <c r="D63" i="1"/>
  <c r="D65" i="1" s="1"/>
  <c r="C63" i="1"/>
  <c r="C65" i="1" s="1"/>
  <c r="C34" i="5"/>
  <c r="I34" i="5" s="1"/>
  <c r="H54" i="10"/>
  <c r="L57" i="10" s="1"/>
  <c r="D34" i="5"/>
  <c r="I31" i="5"/>
  <c r="J34" i="5" l="1"/>
  <c r="J14" i="5"/>
  <c r="K34" i="5"/>
  <c r="L51" i="10"/>
  <c r="P54" i="10" s="1"/>
  <c r="T39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SERGIO GONZALES ROMERO</author>
  </authors>
  <commentList>
    <comment ref="L34" authorId="0" shapeId="0" xr:uid="{55C9BD39-C7C0-4BF4-9CEC-72D8AF1651BB}">
      <text>
        <r>
          <rPr>
            <b/>
            <sz val="9"/>
            <color indexed="81"/>
            <rFont val="Tahoma"/>
            <family val="2"/>
          </rPr>
          <t>VECES</t>
        </r>
      </text>
    </comment>
  </commentList>
</comments>
</file>

<file path=xl/sharedStrings.xml><?xml version="1.0" encoding="utf-8"?>
<sst xmlns="http://schemas.openxmlformats.org/spreadsheetml/2006/main" count="440" uniqueCount="365">
  <si>
    <t>Activo</t>
  </si>
  <si>
    <t>Activo circulante:</t>
  </si>
  <si>
    <t>Efectivo, equivalentes de efectivo y efectivo restringido</t>
  </si>
  <si>
    <t>Total del activo circulante</t>
  </si>
  <si>
    <t>Total del activo</t>
  </si>
  <si>
    <t>Total del pasivo circulante</t>
  </si>
  <si>
    <t>Total del pasivo</t>
  </si>
  <si>
    <t>Capital contable:</t>
  </si>
  <si>
    <t>Capital social</t>
  </si>
  <si>
    <t>Total del capital contable</t>
  </si>
  <si>
    <t>Total del pasivo y capital contable</t>
  </si>
  <si>
    <t>Ingresos</t>
  </si>
  <si>
    <t>Utilidad neta</t>
  </si>
  <si>
    <t>Razones Financieras</t>
  </si>
  <si>
    <t>Ciclo</t>
  </si>
  <si>
    <t>Rotación de cuentas por cobrar (días)</t>
  </si>
  <si>
    <t>Calificacion de Credito</t>
  </si>
  <si>
    <t>90-100</t>
  </si>
  <si>
    <t>80-90</t>
  </si>
  <si>
    <t>70-80</t>
  </si>
  <si>
    <t>60-70</t>
  </si>
  <si>
    <t>50-60</t>
  </si>
  <si>
    <t>Historial Crediticio y de Administración 40%</t>
  </si>
  <si>
    <t xml:space="preserve">Factor </t>
  </si>
  <si>
    <t>Peso Específico</t>
  </si>
  <si>
    <t>Historial Buro de Crédito</t>
  </si>
  <si>
    <t xml:space="preserve">Sin cartera vencida ni mora en los ultimos dos años </t>
  </si>
  <si>
    <t xml:space="preserve">Sin cartera vencida ni mora en el último años </t>
  </si>
  <si>
    <t>Ha tenido un atraso máximo de 30 días en el último año</t>
  </si>
  <si>
    <t>Ha tenido un máximo de 2 atrasos de 30 días en el último año</t>
  </si>
  <si>
    <t>Ha tenido atrasos recurrentes y cartera vencida en el último año</t>
  </si>
  <si>
    <t>Historial Buro de Crédito Socios</t>
  </si>
  <si>
    <t>Ha tenido un máximo de dos atrasos de 30 días en el último año</t>
  </si>
  <si>
    <t>Historial con Moskalti</t>
  </si>
  <si>
    <t>Previa relacion crediticia, siempre al corriente en tiempo y forma</t>
  </si>
  <si>
    <t>Previa relacion crediticia, algun retraso menor, subsanado sin penalidad</t>
  </si>
  <si>
    <t>Previa relacion crediticia, algun retraso menor, subsanado con penalidad</t>
  </si>
  <si>
    <t>Previa relacion crediticia, varios retrasos subsanados con penalidad</t>
  </si>
  <si>
    <t>Previa relacion crediticia, mala experiencia con varios retrasos o morosidad</t>
  </si>
  <si>
    <t>Calidad de la Informacion</t>
  </si>
  <si>
    <t>La informacion es confiable, completa, oportuna, dictaminada por despacho independiente y demostrada en informacion fiscal</t>
  </si>
  <si>
    <t>La informacion es confiable, completa, oportuna, no dictaminada por despacho independiente pero demostrada en informacion fiscal</t>
  </si>
  <si>
    <t xml:space="preserve">La informacion es buena, confiable, suficiente y oportuna, no dictaminada pero materialmente  demostrada en informacion fiscal  </t>
  </si>
  <si>
    <t>La informacion es adecuada y confiable, con ciertos huecos no materiales</t>
  </si>
  <si>
    <t xml:space="preserve">La informacion es inadecuada </t>
  </si>
  <si>
    <t>Calidad de Administración</t>
  </si>
  <si>
    <t>Socios o administradores con mas de 5 años de experiencia en el sector y buena reputación</t>
  </si>
  <si>
    <t>Socios o administradores con mas de 3 años de experiencia en el sector y buena reputación</t>
  </si>
  <si>
    <t>Socios o administradores con experiencia relacionada y buena reputación</t>
  </si>
  <si>
    <t>Socios o administradores con buena experiencia profesional y buena reputación</t>
  </si>
  <si>
    <t>Socios o administradores sin experiencia material profesional o en el sector o dudosa reputación</t>
  </si>
  <si>
    <t>Solvencia y Viabilidad 30%</t>
  </si>
  <si>
    <t>Peso</t>
  </si>
  <si>
    <t xml:space="preserve">Activos Totales </t>
  </si>
  <si>
    <t xml:space="preserve">&gt;50 millones de pesos </t>
  </si>
  <si>
    <t xml:space="preserve">10-50 millones de pesos </t>
  </si>
  <si>
    <t>5-10 millones de pesos</t>
  </si>
  <si>
    <t>3-5 millones de pesos</t>
  </si>
  <si>
    <t>&lt; 3 millones de pesos</t>
  </si>
  <si>
    <t>Deuda Total / Activos Totales</t>
  </si>
  <si>
    <t>&lt;25%</t>
  </si>
  <si>
    <t>25-30%</t>
  </si>
  <si>
    <t>30-40%</t>
  </si>
  <si>
    <t>40-45%</t>
  </si>
  <si>
    <t>&gt;45%</t>
  </si>
  <si>
    <t>Tendencia Apalancamiento vs Periodo Anterior</t>
  </si>
  <si>
    <t>Menor en &gt;20%</t>
  </si>
  <si>
    <t>Menor entre 10-20%</t>
  </si>
  <si>
    <t xml:space="preserve">Igual </t>
  </si>
  <si>
    <t>Mayor en 10-25%</t>
  </si>
  <si>
    <t>Mayor en &gt;25%</t>
  </si>
  <si>
    <t>Activos Fijos / Activos Totales</t>
  </si>
  <si>
    <t>&gt;50%</t>
  </si>
  <si>
    <t>40-50%</t>
  </si>
  <si>
    <t>20-30%</t>
  </si>
  <si>
    <t>&lt;20%</t>
  </si>
  <si>
    <t xml:space="preserve">Riesgo del Sector </t>
  </si>
  <si>
    <t xml:space="preserve">Sector de bajo riesgo, con baja morosidad </t>
  </si>
  <si>
    <t>Sector de menor riesgo, con menor morosidad</t>
  </si>
  <si>
    <t>Sector de riesgo moderado, con morosidad moderada</t>
  </si>
  <si>
    <t xml:space="preserve">Sector de mayor riesgo, con mayor morosidad </t>
  </si>
  <si>
    <t xml:space="preserve">Sector de alto riesgo, con alta morosidad </t>
  </si>
  <si>
    <t>Diversificación Financiera</t>
  </si>
  <si>
    <t>Amplio acceso a mercado de financiamiento</t>
  </si>
  <si>
    <t>Varias fuentes de financiamiento (&gt;5)</t>
  </si>
  <si>
    <t>4-5 fuentes de financiamiento</t>
  </si>
  <si>
    <t>2 o 3 fuentes de financiamiento</t>
  </si>
  <si>
    <t>Unica fuente de financiamiento</t>
  </si>
  <si>
    <t xml:space="preserve">Diversificación Clientes </t>
  </si>
  <si>
    <t>Muy alta diversificacion de clientes (&gt;25)</t>
  </si>
  <si>
    <t>Alta diversificacion de clientes (&gt;15)</t>
  </si>
  <si>
    <t>Diversificacion moderada de clientes (10-15)</t>
  </si>
  <si>
    <t>Concentracion en clientes (5-10)</t>
  </si>
  <si>
    <t>Alta Concentracion en clientes (&lt;5)</t>
  </si>
  <si>
    <t>Diversificación Provedores</t>
  </si>
  <si>
    <t>Muy alta diversificacion de provedores (&gt;25)</t>
  </si>
  <si>
    <t>Alta diversificacion de provedores (&gt;15)</t>
  </si>
  <si>
    <t>Diversificacion moderada de provedores (10-15)</t>
  </si>
  <si>
    <t>Concentracion en provedores (5-10)</t>
  </si>
  <si>
    <t>Alta Concentracion en provedores (&lt;5)</t>
  </si>
  <si>
    <t>Tiempo de Operación</t>
  </si>
  <si>
    <t>Mas de 10 años de operación</t>
  </si>
  <si>
    <t>Entre 6 y 9 años de operación</t>
  </si>
  <si>
    <t>Entre 3 y 6 años de operación</t>
  </si>
  <si>
    <t>Menos de 3 años de operación</t>
  </si>
  <si>
    <t>Menos de 1 año de operación</t>
  </si>
  <si>
    <t>Activo  Circulante / Pasivo Corto Plazo</t>
  </si>
  <si>
    <t>&gt;2.0</t>
  </si>
  <si>
    <t>1.5-2.0</t>
  </si>
  <si>
    <t>1.50 - 1.20</t>
  </si>
  <si>
    <t>1.20 - 1.0</t>
  </si>
  <si>
    <t xml:space="preserve">&lt;1.0  </t>
  </si>
  <si>
    <t>Ventas / Activos Totales</t>
  </si>
  <si>
    <t>&gt;5.0</t>
  </si>
  <si>
    <t>3.0-5.0</t>
  </si>
  <si>
    <t>2.0-3.0</t>
  </si>
  <si>
    <t>1.0-2.0</t>
  </si>
  <si>
    <t>Tendencia en Ventas vs Periodo Anterior</t>
  </si>
  <si>
    <t>Mayor entre 10-20%</t>
  </si>
  <si>
    <t>Menor en 10-25%</t>
  </si>
  <si>
    <t>Menor en &gt;25%</t>
  </si>
  <si>
    <t>Tendencia Utilidad vs Periodo Anterior</t>
  </si>
  <si>
    <t>Antiguedad Cuentas por Cobrar</t>
  </si>
  <si>
    <t xml:space="preserve">&lt;5%, menor a 45 dias </t>
  </si>
  <si>
    <t xml:space="preserve">5-10%, 45-60 dias </t>
  </si>
  <si>
    <t xml:space="preserve">10-15%, 60-80 dias </t>
  </si>
  <si>
    <t xml:space="preserve">15-20%, 80-110 dias </t>
  </si>
  <si>
    <t xml:space="preserve">&gt;20%, &gt;110 dias </t>
  </si>
  <si>
    <t>Cliclo Financiero</t>
  </si>
  <si>
    <t>&lt;90 días</t>
  </si>
  <si>
    <t>90-120 dias</t>
  </si>
  <si>
    <t>120-180 dias</t>
  </si>
  <si>
    <t>180-200 dias</t>
  </si>
  <si>
    <t>&gt;200 dias</t>
  </si>
  <si>
    <t xml:space="preserve">Crecimiento del Sector </t>
  </si>
  <si>
    <t>Sector en crecimiento acelerado (&gt;5%)</t>
  </si>
  <si>
    <t>Sector en crecimiento  (&gt;0.5%)</t>
  </si>
  <si>
    <t>Sector estable (0-0.5%)</t>
  </si>
  <si>
    <t>Sector en decrecimiento (&lt;0%)</t>
  </si>
  <si>
    <t>Sector en recesión (dos trimestres &lt;0%)</t>
  </si>
  <si>
    <t>Margen Utilidad</t>
  </si>
  <si>
    <t>&gt;15%</t>
  </si>
  <si>
    <t>10-15%</t>
  </si>
  <si>
    <t>7-10%</t>
  </si>
  <si>
    <t>3-7%</t>
  </si>
  <si>
    <t xml:space="preserve">&lt;3%  </t>
  </si>
  <si>
    <t>Margen UAFIR</t>
  </si>
  <si>
    <t>&gt;20%</t>
  </si>
  <si>
    <t>15-20%</t>
  </si>
  <si>
    <t>7-15%</t>
  </si>
  <si>
    <t>ROE</t>
  </si>
  <si>
    <t>8-10%</t>
  </si>
  <si>
    <t>5-8%</t>
  </si>
  <si>
    <t xml:space="preserve">&lt;5%  </t>
  </si>
  <si>
    <t>ROA</t>
  </si>
  <si>
    <t>&gt;10%</t>
  </si>
  <si>
    <t>5-7%</t>
  </si>
  <si>
    <t>0-5%</t>
  </si>
  <si>
    <t xml:space="preserve">&lt;0%  </t>
  </si>
  <si>
    <t>Matriz de Crédito y Garantías</t>
  </si>
  <si>
    <t>Garantía</t>
  </si>
  <si>
    <t>A</t>
  </si>
  <si>
    <t>Credito</t>
  </si>
  <si>
    <t>A1</t>
  </si>
  <si>
    <t>A2</t>
  </si>
  <si>
    <t>A3</t>
  </si>
  <si>
    <t>A4</t>
  </si>
  <si>
    <t>A5</t>
  </si>
  <si>
    <t>B</t>
  </si>
  <si>
    <t>B1</t>
  </si>
  <si>
    <t>B2</t>
  </si>
  <si>
    <t>B3</t>
  </si>
  <si>
    <t>B4</t>
  </si>
  <si>
    <t>B5</t>
  </si>
  <si>
    <t>C</t>
  </si>
  <si>
    <t>C1</t>
  </si>
  <si>
    <t>C2</t>
  </si>
  <si>
    <t>C3</t>
  </si>
  <si>
    <t>C4</t>
  </si>
  <si>
    <t>C5</t>
  </si>
  <si>
    <t>D</t>
  </si>
  <si>
    <t>D1</t>
  </si>
  <si>
    <t>D2</t>
  </si>
  <si>
    <t>D3</t>
  </si>
  <si>
    <t>D4</t>
  </si>
  <si>
    <t>D5</t>
  </si>
  <si>
    <t>E</t>
  </si>
  <si>
    <t>E1</t>
  </si>
  <si>
    <t>E2</t>
  </si>
  <si>
    <t>E3</t>
  </si>
  <si>
    <t>E4</t>
  </si>
  <si>
    <t>E5</t>
  </si>
  <si>
    <t>Sobretasas Indicativas</t>
  </si>
  <si>
    <t>TIIE +</t>
  </si>
  <si>
    <t>Ejemplo Tasas Indicativas (% Anual)</t>
  </si>
  <si>
    <t xml:space="preserve">TIIE </t>
  </si>
  <si>
    <t>Apalancamiento</t>
  </si>
  <si>
    <t xml:space="preserve">Resultado </t>
  </si>
  <si>
    <t>Resultado del Ejercicio</t>
  </si>
  <si>
    <t>Deudores Diversos</t>
  </si>
  <si>
    <t>Calificacion Garantia</t>
  </si>
  <si>
    <t>Equipo de Oficina y Equipo de Transporte (neto)</t>
  </si>
  <si>
    <t>Resultado de Ejercicios anteriores</t>
  </si>
  <si>
    <t>Calificacion de credito</t>
  </si>
  <si>
    <t>Calificacion Final</t>
  </si>
  <si>
    <t>Ciclo Financiero</t>
  </si>
  <si>
    <t>Clientes</t>
  </si>
  <si>
    <t>Total</t>
  </si>
  <si>
    <t>CUADRO DE MANDO DE DU PONT</t>
  </si>
  <si>
    <t>Ventas</t>
  </si>
  <si>
    <t>Costo de Ventas</t>
  </si>
  <si>
    <t>Utilidad d. Impuestos</t>
  </si>
  <si>
    <t>Estado de Resultados</t>
  </si>
  <si>
    <t>o</t>
  </si>
  <si>
    <t>Gastos Operativos</t>
  </si>
  <si>
    <t>Margen Neto</t>
  </si>
  <si>
    <t>Estado de Ganancias</t>
  </si>
  <si>
    <t>y Pérdidas</t>
  </si>
  <si>
    <t>Gastos por Intereses</t>
  </si>
  <si>
    <t>Impuestos</t>
  </si>
  <si>
    <t>Rendimto. Act. Tot.</t>
  </si>
  <si>
    <t>Rotación de Activos</t>
  </si>
  <si>
    <t>Activo Corriente</t>
  </si>
  <si>
    <t>Activos Totales</t>
  </si>
  <si>
    <t>Rendimto. Capital</t>
  </si>
  <si>
    <t>Activo Fijo Neto</t>
  </si>
  <si>
    <t>Estado de Situación</t>
  </si>
  <si>
    <t>Financiera o</t>
  </si>
  <si>
    <t>Pasivo a Corto Plazo</t>
  </si>
  <si>
    <t>Balance General</t>
  </si>
  <si>
    <t>Pasivos Totales</t>
  </si>
  <si>
    <t>Pasivo a Largo Plazo</t>
  </si>
  <si>
    <t>T. Pvo. y Cap. = Act. T.</t>
  </si>
  <si>
    <t>Capital Contable</t>
  </si>
  <si>
    <t>Multip. Apalan. Finan.</t>
  </si>
  <si>
    <t>Financiamiento</t>
  </si>
  <si>
    <t>Largo Plazo</t>
  </si>
  <si>
    <t>Total Lineas de Financiamiento</t>
  </si>
  <si>
    <t>Observaciones</t>
  </si>
  <si>
    <t>Rotación de inventarios</t>
  </si>
  <si>
    <t>Rotación de Cuentas por Pagar</t>
  </si>
  <si>
    <t>Rentabilidad y Liquidez</t>
  </si>
  <si>
    <t>Activo Circulante/Pasivo a Corto Plazo</t>
  </si>
  <si>
    <t>Solvencia y Viabilidad</t>
  </si>
  <si>
    <t>Deuda total / Activos Totales</t>
  </si>
  <si>
    <t>Ventas Anuales</t>
  </si>
  <si>
    <t>Utilidad del Ejercicio</t>
  </si>
  <si>
    <t>(-) ISR</t>
  </si>
  <si>
    <t>(-) PTU por Pagar</t>
  </si>
  <si>
    <t>Leonardo Services SA de CV</t>
  </si>
  <si>
    <t>NUCITEC SA DE CV</t>
  </si>
  <si>
    <t>Luis Fernando Maya Suarez</t>
  </si>
  <si>
    <t>Servicios Terrestres Empresariales</t>
  </si>
  <si>
    <t>POS CLOUDS DE MEXICO SA DE CV</t>
  </si>
  <si>
    <t>ELICAMEX</t>
  </si>
  <si>
    <t>Anticipo a Proveedores</t>
  </si>
  <si>
    <t>AUTOCOM NOVA SAPI DE CV</t>
  </si>
  <si>
    <t>VAQSA</t>
  </si>
  <si>
    <t>SERVICIOS GASOLINEROS DE MEXICO SA DE CV</t>
  </si>
  <si>
    <t>GASOLINERIA NUEVO MILENIO SA DE CV</t>
  </si>
  <si>
    <t>ALMA ROSA CHAPARRO ARIAS</t>
  </si>
  <si>
    <t>VOLKSWAGEN LEASING</t>
  </si>
  <si>
    <t>GM FINANCIAL DE MEXICO SA DE CV SOFOM ENR</t>
  </si>
  <si>
    <t>TELMOV SA DE CV</t>
  </si>
  <si>
    <t>MYLSA QRO</t>
  </si>
  <si>
    <t>RADIOMOVIL DIPSA</t>
  </si>
  <si>
    <t>FINANCIERA BEPENSA</t>
  </si>
  <si>
    <t>AUTOCOM NOVA SAPI SA DE CV</t>
  </si>
  <si>
    <t>MEXARREND SAPI DE CV</t>
  </si>
  <si>
    <t>ASCENTY MEXICO S DE RL DE CV</t>
  </si>
  <si>
    <t>GERARDO CHAPARRO ARIAS</t>
  </si>
  <si>
    <t>SURTIMOTO</t>
  </si>
  <si>
    <t>QRO STAR SA DE CV</t>
  </si>
  <si>
    <t>GRUPO GASOLINERO ALFER</t>
  </si>
  <si>
    <t>TOYOTA FINANCIAL SERVICES DE MEXICO</t>
  </si>
  <si>
    <t>GRUPO USA MOTORS SA DE CV</t>
  </si>
  <si>
    <t>ESTACION DE SERVICO LAJA SA DE CV</t>
  </si>
  <si>
    <t>COMERCIALIZADORA FUKASA SA DE CV</t>
  </si>
  <si>
    <t>ANA COMPAÑÍA DE SEGUROS</t>
  </si>
  <si>
    <t>PORTAFOLIO DE NEGOCIOS SA DE CV</t>
  </si>
  <si>
    <t>GENERAL MOTORS COMPANY</t>
  </si>
  <si>
    <t>QUERETARO MOTORS SA DE CV</t>
  </si>
  <si>
    <t>SECRETARIA DE COMUNICACIONES Y TRANSPORTES</t>
  </si>
  <si>
    <t>COMERCIALIZADORA DE VEHICULOS Y REFACCIONES DE OCC</t>
  </si>
  <si>
    <t>Acreedores</t>
  </si>
  <si>
    <t>CIGUEÑALES Y RECTIFICACIONES VAZQUEZ</t>
  </si>
  <si>
    <t>DAVID BARRIOS</t>
  </si>
  <si>
    <t>JOSE JESUS MERCADILLO ESCOBEDO</t>
  </si>
  <si>
    <t>LEONARDO SERVICES SA DE CV</t>
  </si>
  <si>
    <t>MAXIMA HOTELERA</t>
  </si>
  <si>
    <t>NOE TORRES DOMINGUEZ</t>
  </si>
  <si>
    <t>SERVICIOS TERRESTRES EMPRESARIALES</t>
  </si>
  <si>
    <t>VAQCSA VENTO 2</t>
  </si>
  <si>
    <t>PORTAFOLIO DE NEGOCIOS</t>
  </si>
  <si>
    <t>SAVEIRO VAQSA</t>
  </si>
  <si>
    <t>INVESTICORA</t>
  </si>
  <si>
    <t>QRO MOTORS A</t>
  </si>
  <si>
    <t>QRO MOTORS B</t>
  </si>
  <si>
    <t>TOYOTA FINANCIAL SERVICES</t>
  </si>
  <si>
    <t>Gastos de operación</t>
  </si>
  <si>
    <t>Utilidad antes de impuestos</t>
  </si>
  <si>
    <t>Var%  21 vs 22</t>
  </si>
  <si>
    <t>Impuestos por pagar</t>
  </si>
  <si>
    <t>Total del pasivo largo Plazo</t>
  </si>
  <si>
    <t>Total otros pasivos</t>
  </si>
  <si>
    <t>Utilidad Bruta</t>
  </si>
  <si>
    <t>Utilidad antes de Productos Financieros</t>
  </si>
  <si>
    <t>Utilidad antes de otros ingresos/gastos</t>
  </si>
  <si>
    <t>Otros ingresos (otros gastos)</t>
  </si>
  <si>
    <t>Rango Tasas Indicativas (% Anual)</t>
  </si>
  <si>
    <t>Bajo</t>
  </si>
  <si>
    <t>Alto</t>
  </si>
  <si>
    <t>Intereses a favor</t>
  </si>
  <si>
    <t>Intereses a cargo</t>
  </si>
  <si>
    <t>Utilidad cambiaria</t>
  </si>
  <si>
    <t>Perdida cambiaria</t>
  </si>
  <si>
    <t>Proveedores</t>
  </si>
  <si>
    <t>Acreedores Diversos</t>
  </si>
  <si>
    <t xml:space="preserve">Préstamos de instituciones financieras </t>
  </si>
  <si>
    <t>Reserva Legal</t>
  </si>
  <si>
    <t>Préstamos de instituciones financieras</t>
  </si>
  <si>
    <t>Var%  22 vs 23</t>
  </si>
  <si>
    <t>Var%  23 vs 24</t>
  </si>
  <si>
    <t>Gastos de Operación</t>
  </si>
  <si>
    <t>Inventario</t>
  </si>
  <si>
    <t>Activo Diferido</t>
  </si>
  <si>
    <t>Deposito en Garantia</t>
  </si>
  <si>
    <t>Impuestos a Favor</t>
  </si>
  <si>
    <t>Total Activo Diferido</t>
  </si>
  <si>
    <t>Pagos Anticipados</t>
  </si>
  <si>
    <t>Estado de Situacion Financiera</t>
  </si>
  <si>
    <t>CONCEPTO</t>
  </si>
  <si>
    <t>Participacion no controladora</t>
  </si>
  <si>
    <t>Otros pasivos a corto plazo</t>
  </si>
  <si>
    <t>Mejoras y Gastos de instalacion</t>
  </si>
  <si>
    <t>Aportaciones para futuros aumento a Capital</t>
  </si>
  <si>
    <t>PTU por Pagar</t>
  </si>
  <si>
    <t xml:space="preserve">Prospecto: TA SOLUCIONES </t>
  </si>
  <si>
    <t>Anticipo de Clientes</t>
  </si>
  <si>
    <t>Var%  24 vs 25</t>
  </si>
  <si>
    <t>Impuestos por acreditar</t>
  </si>
  <si>
    <t>C 2</t>
  </si>
  <si>
    <t>Iva Trasladado</t>
  </si>
  <si>
    <t>Rentabilidad, Liquidez y Momentum 30%</t>
  </si>
  <si>
    <t>% 23-24</t>
  </si>
  <si>
    <t>%24-25</t>
  </si>
  <si>
    <t>Cobertura Utilidad a Monto Solicitado</t>
  </si>
  <si>
    <t>&gt;5X</t>
  </si>
  <si>
    <t>4-4.9X</t>
  </si>
  <si>
    <t>3-3.9X</t>
  </si>
  <si>
    <t>2-2.9X</t>
  </si>
  <si>
    <t xml:space="preserve">&lt;2  </t>
  </si>
  <si>
    <t>Actual</t>
  </si>
  <si>
    <t>Var%  25 vs 26</t>
  </si>
  <si>
    <t>%25-26</t>
  </si>
  <si>
    <t xml:space="preserve">Modelo de Crédito: TA SOLUCIONES </t>
  </si>
  <si>
    <t>Partes relacionadas</t>
  </si>
  <si>
    <t>Impuestos al valor agregado</t>
  </si>
  <si>
    <t>Pagos anticipados</t>
  </si>
  <si>
    <t>Otras cuentas por cobrar</t>
  </si>
  <si>
    <t>Margen de utilidad/Prestamo</t>
  </si>
  <si>
    <t>Prestamo anual</t>
  </si>
  <si>
    <t>Promedio ultimos 3 años</t>
  </si>
  <si>
    <t>Promedio ultimos 2 años</t>
  </si>
  <si>
    <t>Proyectos en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</si>
</sst>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#,##0;\(#,##0\)"/>
    <numFmt numFmtId="167" formatCode="#,##0_ ;[Red]\(#,##0\)"/>
    <numFmt numFmtId="168" formatCode="#,##0.00;\(#,##0.00\)"/>
    <numFmt numFmtId="169" formatCode="0.0%"/>
    <numFmt numFmtId="170" formatCode="0.0"/>
  </numFmts>
  <fonts count="4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Avenir Book"/>
      <family val="2"/>
    </font>
    <font>
      <b/>
      <sz val="20"/>
      <color theme="1"/>
      <name val="Avenir Book"/>
      <family val="2"/>
    </font>
    <font>
      <b/>
      <sz val="18"/>
      <color theme="1"/>
      <name val="Avenir Book"/>
      <family val="2"/>
    </font>
    <font>
      <b/>
      <sz val="14"/>
      <color theme="1" tint="0.34998626667073579"/>
      <name val="Avenir Book"/>
      <family val="2"/>
    </font>
    <font>
      <sz val="12"/>
      <color theme="1" tint="0.34998626667073579"/>
      <name val="Avenir Book"/>
      <family val="2"/>
    </font>
    <font>
      <b/>
      <sz val="12"/>
      <color theme="1"/>
      <name val="Avenir Book"/>
      <family val="2"/>
    </font>
    <font>
      <b/>
      <sz val="16"/>
      <color theme="1"/>
      <name val="Avenir Book"/>
      <family val="2"/>
    </font>
    <font>
      <b/>
      <sz val="16"/>
      <color theme="4" tint="-0.499984740745262"/>
      <name val="Avenir Book"/>
      <family val="2"/>
    </font>
    <font>
      <b/>
      <sz val="12"/>
      <color theme="0"/>
      <name val="Avenir Book"/>
      <family val="2"/>
    </font>
    <font>
      <sz val="12"/>
      <color theme="0"/>
      <name val="Avenir Book"/>
      <family val="2"/>
    </font>
    <font>
      <sz val="12"/>
      <color theme="2" tint="-0.499984740745262"/>
      <name val="Avenir Book"/>
      <family val="2"/>
    </font>
    <font>
      <sz val="12"/>
      <color theme="1" tint="0.249977111117893"/>
      <name val="Avenir Book"/>
      <family val="2"/>
    </font>
    <font>
      <b/>
      <sz val="16"/>
      <color theme="5" tint="-0.499984740745262"/>
      <name val="Avenir Book"/>
      <family val="2"/>
    </font>
    <font>
      <u/>
      <sz val="12"/>
      <color theme="10"/>
      <name val="Calibri"/>
      <family val="2"/>
      <scheme val="minor"/>
    </font>
    <font>
      <b/>
      <sz val="16"/>
      <color theme="7" tint="-0.499984740745262"/>
      <name val="Avenir Book"/>
      <family val="2"/>
    </font>
    <font>
      <b/>
      <sz val="18"/>
      <color theme="1"/>
      <name val="Avenir Light"/>
      <family val="2"/>
    </font>
    <font>
      <sz val="14"/>
      <color theme="1"/>
      <name val="Calibri"/>
      <family val="2"/>
      <scheme val="minor"/>
    </font>
    <font>
      <sz val="12"/>
      <color theme="1"/>
      <name val="Avenir Light"/>
      <family val="2"/>
    </font>
    <font>
      <b/>
      <sz val="16"/>
      <color theme="1"/>
      <name val="Avenir Light"/>
      <family val="2"/>
    </font>
    <font>
      <b/>
      <sz val="14"/>
      <color theme="1"/>
      <name val="Avenir Light"/>
      <family val="2"/>
    </font>
    <font>
      <b/>
      <sz val="12"/>
      <color theme="1"/>
      <name val="Avenir Light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2"/>
      <color theme="0"/>
      <name val="Avenir Light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B2FFD2"/>
        <bgColor indexed="64"/>
      </patternFill>
    </fill>
    <fill>
      <patternFill patternType="solid">
        <fgColor rgb="FFFFD1C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29722"/>
        <bgColor indexed="64"/>
      </patternFill>
    </fill>
    <fill>
      <patternFill patternType="solid">
        <fgColor rgb="FF556B5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2556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276">
    <xf numFmtId="0" fontId="0" fillId="0" borderId="0" xfId="0"/>
    <xf numFmtId="0" fontId="8" fillId="4" borderId="0" xfId="7" applyFont="1" applyFill="1"/>
    <xf numFmtId="0" fontId="9" fillId="4" borderId="0" xfId="7" applyFont="1" applyFill="1" applyAlignment="1">
      <alignment vertical="center"/>
    </xf>
    <xf numFmtId="0" fontId="10" fillId="4" borderId="0" xfId="7" applyFont="1" applyFill="1" applyAlignment="1">
      <alignment horizontal="center"/>
    </xf>
    <xf numFmtId="0" fontId="8" fillId="2" borderId="0" xfId="7" applyFont="1" applyFill="1"/>
    <xf numFmtId="10" fontId="11" fillId="2" borderId="0" xfId="8" applyNumberFormat="1" applyFont="1" applyFill="1" applyBorder="1" applyAlignment="1">
      <alignment horizontal="left" vertical="center"/>
    </xf>
    <xf numFmtId="0" fontId="12" fillId="2" borderId="0" xfId="7" applyFont="1" applyFill="1" applyAlignment="1">
      <alignment horizontal="left" vertical="center" indent="3"/>
    </xf>
    <xf numFmtId="0" fontId="8" fillId="2" borderId="0" xfId="7" applyFont="1" applyFill="1" applyAlignment="1">
      <alignment horizontal="right" vertical="center"/>
    </xf>
    <xf numFmtId="10" fontId="8" fillId="2" borderId="0" xfId="7" applyNumberFormat="1" applyFont="1" applyFill="1"/>
    <xf numFmtId="4" fontId="8" fillId="2" borderId="0" xfId="7" applyNumberFormat="1" applyFont="1" applyFill="1"/>
    <xf numFmtId="0" fontId="13" fillId="2" borderId="0" xfId="7" applyFont="1" applyFill="1" applyAlignment="1">
      <alignment horizontal="right"/>
    </xf>
    <xf numFmtId="0" fontId="14" fillId="2" borderId="0" xfId="7" applyFont="1" applyFill="1" applyAlignment="1">
      <alignment vertical="center"/>
    </xf>
    <xf numFmtId="0" fontId="15" fillId="2" borderId="0" xfId="7" applyFont="1" applyFill="1" applyAlignment="1">
      <alignment vertical="center"/>
    </xf>
    <xf numFmtId="0" fontId="16" fillId="5" borderId="0" xfId="7" applyFont="1" applyFill="1" applyAlignment="1">
      <alignment horizontal="center"/>
    </xf>
    <xf numFmtId="0" fontId="17" fillId="2" borderId="0" xfId="7" applyFont="1" applyFill="1"/>
    <xf numFmtId="0" fontId="17" fillId="5" borderId="0" xfId="7" applyFont="1" applyFill="1"/>
    <xf numFmtId="0" fontId="8" fillId="2" borderId="0" xfId="7" applyFont="1" applyFill="1" applyAlignment="1">
      <alignment horizontal="center" vertical="center" wrapText="1"/>
    </xf>
    <xf numFmtId="10" fontId="18" fillId="2" borderId="3" xfId="8" applyNumberFormat="1" applyFont="1" applyFill="1" applyBorder="1" applyAlignment="1">
      <alignment horizontal="center" vertical="center"/>
    </xf>
    <xf numFmtId="9" fontId="18" fillId="2" borderId="3" xfId="8" applyFont="1" applyFill="1" applyBorder="1" applyAlignment="1">
      <alignment horizontal="center" vertical="center"/>
    </xf>
    <xf numFmtId="0" fontId="8" fillId="2" borderId="0" xfId="7" applyFont="1" applyFill="1" applyAlignment="1">
      <alignment vertical="center" wrapText="1"/>
    </xf>
    <xf numFmtId="0" fontId="8" fillId="2" borderId="4" xfId="7" applyFont="1" applyFill="1" applyBorder="1" applyAlignment="1">
      <alignment horizontal="center" vertical="center" wrapText="1"/>
    </xf>
    <xf numFmtId="169" fontId="8" fillId="2" borderId="0" xfId="7" applyNumberFormat="1" applyFont="1" applyFill="1" applyAlignment="1">
      <alignment horizontal="center" vertical="center"/>
    </xf>
    <xf numFmtId="0" fontId="8" fillId="2" borderId="0" xfId="7" applyFont="1" applyFill="1" applyAlignment="1">
      <alignment horizontal="center" vertical="center"/>
    </xf>
    <xf numFmtId="10" fontId="18" fillId="2" borderId="0" xfId="8" applyNumberFormat="1" applyFont="1" applyFill="1" applyBorder="1" applyAlignment="1">
      <alignment horizontal="center" vertical="center"/>
    </xf>
    <xf numFmtId="9" fontId="18" fillId="2" borderId="0" xfId="8" applyFont="1" applyFill="1" applyBorder="1" applyAlignment="1">
      <alignment horizontal="center" vertical="center"/>
    </xf>
    <xf numFmtId="0" fontId="8" fillId="2" borderId="0" xfId="7" applyFont="1" applyFill="1" applyAlignment="1">
      <alignment vertical="center"/>
    </xf>
    <xf numFmtId="2" fontId="19" fillId="2" borderId="0" xfId="7" applyNumberFormat="1" applyFont="1" applyFill="1" applyAlignment="1">
      <alignment horizontal="left" vertical="center"/>
    </xf>
    <xf numFmtId="0" fontId="20" fillId="2" borderId="0" xfId="7" applyFont="1" applyFill="1" applyAlignment="1">
      <alignment vertical="center"/>
    </xf>
    <xf numFmtId="0" fontId="16" fillId="2" borderId="0" xfId="7" applyFont="1" applyFill="1" applyAlignment="1">
      <alignment horizontal="left" vertical="center"/>
    </xf>
    <xf numFmtId="2" fontId="8" fillId="2" borderId="0" xfId="7" applyNumberFormat="1" applyFont="1" applyFill="1"/>
    <xf numFmtId="9" fontId="8" fillId="2" borderId="0" xfId="8" applyFont="1" applyFill="1"/>
    <xf numFmtId="0" fontId="21" fillId="2" borderId="0" xfId="9" applyFill="1"/>
    <xf numFmtId="0" fontId="22" fillId="2" borderId="0" xfId="7" applyFont="1" applyFill="1" applyAlignment="1">
      <alignment vertical="center"/>
    </xf>
    <xf numFmtId="0" fontId="17" fillId="7" borderId="0" xfId="7" applyFont="1" applyFill="1"/>
    <xf numFmtId="10" fontId="8" fillId="2" borderId="0" xfId="8" applyNumberFormat="1" applyFont="1" applyFill="1"/>
    <xf numFmtId="9" fontId="8" fillId="2" borderId="0" xfId="8" applyFont="1" applyFill="1" applyAlignment="1">
      <alignment horizontal="center"/>
    </xf>
    <xf numFmtId="0" fontId="1" fillId="2" borderId="0" xfId="7" applyFill="1"/>
    <xf numFmtId="0" fontId="24" fillId="4" borderId="0" xfId="7" applyFont="1" applyFill="1"/>
    <xf numFmtId="0" fontId="23" fillId="2" borderId="0" xfId="7" applyFont="1" applyFill="1" applyAlignment="1">
      <alignment horizontal="left" vertical="center"/>
    </xf>
    <xf numFmtId="0" fontId="24" fillId="2" borderId="0" xfId="7" applyFont="1" applyFill="1"/>
    <xf numFmtId="0" fontId="25" fillId="2" borderId="0" xfId="7" applyFont="1" applyFill="1"/>
    <xf numFmtId="0" fontId="26" fillId="2" borderId="0" xfId="7" applyFont="1" applyFill="1" applyAlignment="1">
      <alignment vertical="center"/>
    </xf>
    <xf numFmtId="0" fontId="7" fillId="2" borderId="0" xfId="7" applyFont="1" applyFill="1"/>
    <xf numFmtId="0" fontId="26" fillId="2" borderId="0" xfId="7" applyFont="1" applyFill="1" applyAlignment="1">
      <alignment vertical="center" textRotation="90" wrapText="1"/>
    </xf>
    <xf numFmtId="0" fontId="25" fillId="2" borderId="5" xfId="7" applyFont="1" applyFill="1" applyBorder="1"/>
    <xf numFmtId="0" fontId="28" fillId="2" borderId="6" xfId="7" applyFont="1" applyFill="1" applyBorder="1" applyAlignment="1">
      <alignment horizontal="center"/>
    </xf>
    <xf numFmtId="0" fontId="28" fillId="2" borderId="7" xfId="7" applyFont="1" applyFill="1" applyBorder="1" applyAlignment="1">
      <alignment horizontal="center"/>
    </xf>
    <xf numFmtId="0" fontId="1" fillId="2" borderId="0" xfId="7" applyFill="1" applyAlignment="1">
      <alignment horizontal="center"/>
    </xf>
    <xf numFmtId="0" fontId="7" fillId="2" borderId="0" xfId="7" applyFont="1" applyFill="1" applyAlignment="1">
      <alignment horizontal="right"/>
    </xf>
    <xf numFmtId="170" fontId="7" fillId="2" borderId="0" xfId="7" applyNumberFormat="1" applyFont="1" applyFill="1"/>
    <xf numFmtId="169" fontId="28" fillId="2" borderId="8" xfId="7" applyNumberFormat="1" applyFont="1" applyFill="1" applyBorder="1" applyAlignment="1">
      <alignment horizontal="right" vertical="center" wrapText="1"/>
    </xf>
    <xf numFmtId="0" fontId="25" fillId="8" borderId="9" xfId="7" applyFont="1" applyFill="1" applyBorder="1" applyAlignment="1">
      <alignment horizontal="center" vertical="center" wrapText="1"/>
    </xf>
    <xf numFmtId="0" fontId="25" fillId="8" borderId="0" xfId="7" applyFont="1" applyFill="1" applyAlignment="1">
      <alignment horizontal="center" vertical="center" wrapText="1"/>
    </xf>
    <xf numFmtId="0" fontId="25" fillId="2" borderId="0" xfId="7" applyFont="1" applyFill="1" applyAlignment="1">
      <alignment horizontal="center" vertical="center" wrapText="1"/>
    </xf>
    <xf numFmtId="169" fontId="28" fillId="2" borderId="10" xfId="7" applyNumberFormat="1" applyFont="1" applyFill="1" applyBorder="1" applyAlignment="1">
      <alignment horizontal="right" vertical="center" wrapText="1"/>
    </xf>
    <xf numFmtId="0" fontId="25" fillId="8" borderId="9" xfId="7" applyFont="1" applyFill="1" applyBorder="1" applyAlignment="1">
      <alignment horizontal="center"/>
    </xf>
    <xf numFmtId="0" fontId="25" fillId="8" borderId="0" xfId="7" applyFont="1" applyFill="1" applyAlignment="1">
      <alignment horizontal="center"/>
    </xf>
    <xf numFmtId="0" fontId="25" fillId="9" borderId="11" xfId="7" applyFont="1" applyFill="1" applyBorder="1" applyAlignment="1">
      <alignment horizontal="center"/>
    </xf>
    <xf numFmtId="0" fontId="25" fillId="9" borderId="12" xfId="7" applyFont="1" applyFill="1" applyBorder="1" applyAlignment="1">
      <alignment horizontal="center"/>
    </xf>
    <xf numFmtId="0" fontId="25" fillId="9" borderId="0" xfId="7" applyFont="1" applyFill="1" applyAlignment="1">
      <alignment horizontal="center"/>
    </xf>
    <xf numFmtId="0" fontId="25" fillId="9" borderId="11" xfId="7" applyFont="1" applyFill="1" applyBorder="1" applyAlignment="1">
      <alignment horizontal="center" vertical="center" wrapText="1"/>
    </xf>
    <xf numFmtId="0" fontId="25" fillId="9" borderId="0" xfId="7" applyFont="1" applyFill="1" applyAlignment="1">
      <alignment horizontal="center" vertical="center" wrapText="1"/>
    </xf>
    <xf numFmtId="0" fontId="26" fillId="2" borderId="0" xfId="7" applyFont="1" applyFill="1" applyAlignment="1">
      <alignment horizontal="center" vertical="center" textRotation="90" wrapText="1"/>
    </xf>
    <xf numFmtId="169" fontId="28" fillId="2" borderId="0" xfId="7" applyNumberFormat="1" applyFont="1" applyFill="1" applyAlignment="1">
      <alignment horizontal="center" vertical="center" wrapText="1"/>
    </xf>
    <xf numFmtId="169" fontId="28" fillId="2" borderId="10" xfId="7" applyNumberFormat="1" applyFont="1" applyFill="1" applyBorder="1" applyAlignment="1">
      <alignment horizontal="center" vertical="center" wrapText="1"/>
    </xf>
    <xf numFmtId="0" fontId="25" fillId="10" borderId="0" xfId="7" applyFont="1" applyFill="1" applyAlignment="1">
      <alignment horizontal="center" vertical="center" wrapText="1"/>
    </xf>
    <xf numFmtId="0" fontId="25" fillId="9" borderId="12" xfId="7" applyFont="1" applyFill="1" applyBorder="1" applyAlignment="1">
      <alignment horizontal="center" vertical="center" wrapText="1"/>
    </xf>
    <xf numFmtId="0" fontId="8" fillId="2" borderId="0" xfId="7" applyFont="1" applyFill="1" applyAlignment="1">
      <alignment horizontal="right"/>
    </xf>
    <xf numFmtId="0" fontId="1" fillId="0" borderId="0" xfId="7"/>
    <xf numFmtId="0" fontId="16" fillId="13" borderId="0" xfId="7" applyFont="1" applyFill="1" applyAlignment="1">
      <alignment horizontal="center" vertical="center"/>
    </xf>
    <xf numFmtId="0" fontId="16" fillId="13" borderId="0" xfId="7" applyFont="1" applyFill="1" applyAlignment="1">
      <alignment horizontal="center"/>
    </xf>
    <xf numFmtId="0" fontId="12" fillId="14" borderId="0" xfId="7" applyFont="1" applyFill="1" applyAlignment="1">
      <alignment horizontal="left" vertical="center" indent="3"/>
    </xf>
    <xf numFmtId="0" fontId="8" fillId="16" borderId="0" xfId="7" applyFont="1" applyFill="1"/>
    <xf numFmtId="0" fontId="16" fillId="16" borderId="0" xfId="7" applyFont="1" applyFill="1" applyAlignment="1">
      <alignment horizontal="center" vertical="center"/>
    </xf>
    <xf numFmtId="0" fontId="16" fillId="16" borderId="0" xfId="7" applyFont="1" applyFill="1" applyAlignment="1">
      <alignment horizontal="center"/>
    </xf>
    <xf numFmtId="9" fontId="8" fillId="2" borderId="0" xfId="5" applyFont="1" applyFill="1"/>
    <xf numFmtId="0" fontId="13" fillId="2" borderId="0" xfId="7" applyFont="1" applyFill="1"/>
    <xf numFmtId="10" fontId="13" fillId="2" borderId="0" xfId="7" applyNumberFormat="1" applyFont="1" applyFill="1"/>
    <xf numFmtId="0" fontId="16" fillId="2" borderId="0" xfId="7" applyFont="1" applyFill="1"/>
    <xf numFmtId="9" fontId="13" fillId="2" borderId="0" xfId="7" applyNumberFormat="1" applyFont="1" applyFill="1"/>
    <xf numFmtId="3" fontId="13" fillId="2" borderId="0" xfId="7" applyNumberFormat="1" applyFont="1" applyFill="1"/>
    <xf numFmtId="0" fontId="13" fillId="2" borderId="0" xfId="5" applyNumberFormat="1" applyFont="1" applyFill="1"/>
    <xf numFmtId="0" fontId="6" fillId="2" borderId="0" xfId="7" applyFont="1" applyFill="1" applyAlignment="1">
      <alignment horizontal="right"/>
    </xf>
    <xf numFmtId="0" fontId="6" fillId="2" borderId="0" xfId="7" applyFont="1" applyFill="1"/>
    <xf numFmtId="0" fontId="29" fillId="17" borderId="1" xfId="1" applyNumberFormat="1" applyFont="1" applyFill="1" applyBorder="1" applyAlignment="1">
      <alignment horizontal="center" vertical="center" wrapText="1"/>
    </xf>
    <xf numFmtId="0" fontId="30" fillId="0" borderId="0" xfId="0" applyFont="1"/>
    <xf numFmtId="0" fontId="30" fillId="2" borderId="0" xfId="0" applyFont="1" applyFill="1"/>
    <xf numFmtId="0" fontId="32" fillId="2" borderId="0" xfId="0" applyFont="1" applyFill="1" applyAlignment="1">
      <alignment horizontal="left" vertical="center" wrapText="1"/>
    </xf>
    <xf numFmtId="165" fontId="32" fillId="2" borderId="0" xfId="1" applyNumberFormat="1" applyFont="1" applyFill="1" applyAlignment="1">
      <alignment horizontal="right" wrapText="1"/>
    </xf>
    <xf numFmtId="0" fontId="31" fillId="2" borderId="0" xfId="0" applyFont="1" applyFill="1" applyAlignment="1">
      <alignment horizontal="left" vertical="center" wrapText="1"/>
    </xf>
    <xf numFmtId="165" fontId="31" fillId="2" borderId="0" xfId="1" applyNumberFormat="1" applyFont="1" applyFill="1" applyAlignment="1">
      <alignment horizontal="right" wrapText="1"/>
    </xf>
    <xf numFmtId="165" fontId="33" fillId="2" borderId="0" xfId="0" applyNumberFormat="1" applyFont="1" applyFill="1"/>
    <xf numFmtId="165" fontId="31" fillId="0" borderId="0" xfId="1" applyNumberFormat="1" applyFont="1" applyAlignment="1">
      <alignment horizontal="right" wrapText="1"/>
    </xf>
    <xf numFmtId="167" fontId="32" fillId="2" borderId="0" xfId="1" applyNumberFormat="1" applyFont="1" applyFill="1" applyAlignment="1">
      <alignment horizontal="right" wrapText="1"/>
    </xf>
    <xf numFmtId="167" fontId="30" fillId="2" borderId="0" xfId="1" applyNumberFormat="1" applyFont="1" applyFill="1"/>
    <xf numFmtId="166" fontId="3" fillId="2" borderId="0" xfId="4" applyNumberFormat="1" applyFont="1" applyFill="1" applyAlignment="1">
      <alignment horizontal="right" vertical="center"/>
    </xf>
    <xf numFmtId="165" fontId="30" fillId="0" borderId="0" xfId="0" applyNumberFormat="1" applyFont="1"/>
    <xf numFmtId="9" fontId="30" fillId="2" borderId="0" xfId="5" applyFont="1" applyFill="1"/>
    <xf numFmtId="43" fontId="30" fillId="2" borderId="0" xfId="0" applyNumberFormat="1" applyFont="1" applyFill="1"/>
    <xf numFmtId="0" fontId="33" fillId="2" borderId="0" xfId="0" applyFont="1" applyFill="1"/>
    <xf numFmtId="167" fontId="33" fillId="2" borderId="0" xfId="1" applyNumberFormat="1" applyFont="1" applyFill="1" applyAlignment="1">
      <alignment horizontal="right"/>
    </xf>
    <xf numFmtId="165" fontId="33" fillId="2" borderId="0" xfId="1" applyNumberFormat="1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left" vertical="center" wrapText="1" indent="1"/>
    </xf>
    <xf numFmtId="167" fontId="33" fillId="2" borderId="0" xfId="1" applyNumberFormat="1" applyFont="1" applyFill="1" applyAlignment="1">
      <alignment horizontal="right" wrapText="1"/>
    </xf>
    <xf numFmtId="0" fontId="32" fillId="2" borderId="0" xfId="0" applyFont="1" applyFill="1" applyAlignment="1">
      <alignment horizontal="left" vertical="center" wrapText="1" indent="1"/>
    </xf>
    <xf numFmtId="3" fontId="30" fillId="0" borderId="0" xfId="0" applyNumberFormat="1" applyFont="1"/>
    <xf numFmtId="0" fontId="31" fillId="3" borderId="0" xfId="0" applyFont="1" applyFill="1" applyAlignment="1">
      <alignment horizontal="left" vertical="center" wrapText="1" indent="1"/>
    </xf>
    <xf numFmtId="166" fontId="34" fillId="3" borderId="0" xfId="4" applyNumberFormat="1" applyFont="1" applyFill="1" applyAlignment="1">
      <alignment horizontal="right" vertical="center"/>
    </xf>
    <xf numFmtId="0" fontId="30" fillId="2" borderId="0" xfId="0" applyFont="1" applyFill="1" applyAlignment="1">
      <alignment wrapText="1"/>
    </xf>
    <xf numFmtId="165" fontId="30" fillId="2" borderId="0" xfId="1" applyNumberFormat="1" applyFont="1" applyFill="1" applyBorder="1" applyAlignment="1">
      <alignment horizontal="center" wrapText="1"/>
    </xf>
    <xf numFmtId="3" fontId="3" fillId="2" borderId="0" xfId="0" applyNumberFormat="1" applyFont="1" applyFill="1" applyAlignment="1">
      <alignment horizontal="right" vertical="center" wrapText="1" indent="1"/>
    </xf>
    <xf numFmtId="3" fontId="30" fillId="2" borderId="0" xfId="0" applyNumberFormat="1" applyFont="1" applyFill="1"/>
    <xf numFmtId="43" fontId="33" fillId="2" borderId="0" xfId="1" applyFont="1" applyFill="1" applyBorder="1" applyAlignment="1">
      <alignment horizontal="center" vertical="center" wrapText="1"/>
    </xf>
    <xf numFmtId="9" fontId="33" fillId="2" borderId="0" xfId="5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168" fontId="35" fillId="2" borderId="0" xfId="6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left"/>
    </xf>
    <xf numFmtId="169" fontId="30" fillId="2" borderId="0" xfId="0" applyNumberFormat="1" applyFont="1" applyFill="1" applyAlignment="1">
      <alignment horizontal="center"/>
    </xf>
    <xf numFmtId="2" fontId="30" fillId="2" borderId="0" xfId="0" applyNumberFormat="1" applyFont="1" applyFill="1" applyAlignment="1">
      <alignment horizontal="center"/>
    </xf>
    <xf numFmtId="0" fontId="33" fillId="2" borderId="0" xfId="0" applyFont="1" applyFill="1" applyAlignment="1">
      <alignment horizontal="left"/>
    </xf>
    <xf numFmtId="2" fontId="30" fillId="2" borderId="0" xfId="5" applyNumberFormat="1" applyFont="1" applyFill="1" applyAlignment="1">
      <alignment horizontal="center"/>
    </xf>
    <xf numFmtId="1" fontId="30" fillId="2" borderId="0" xfId="0" applyNumberFormat="1" applyFont="1" applyFill="1" applyAlignment="1">
      <alignment horizontal="center"/>
    </xf>
    <xf numFmtId="1" fontId="30" fillId="2" borderId="0" xfId="0" applyNumberFormat="1" applyFont="1" applyFill="1" applyAlignment="1">
      <alignment horizontal="right"/>
    </xf>
    <xf numFmtId="169" fontId="30" fillId="0" borderId="0" xfId="5" applyNumberFormat="1" applyFont="1" applyAlignment="1">
      <alignment horizontal="center"/>
    </xf>
    <xf numFmtId="169" fontId="30" fillId="2" borderId="0" xfId="5" applyNumberFormat="1" applyFont="1" applyFill="1" applyAlignment="1">
      <alignment horizontal="center"/>
    </xf>
    <xf numFmtId="0" fontId="29" fillId="5" borderId="0" xfId="0" applyFont="1" applyFill="1" applyAlignment="1">
      <alignment horizontal="center"/>
    </xf>
    <xf numFmtId="0" fontId="37" fillId="0" borderId="0" xfId="0" applyFont="1" applyAlignment="1">
      <alignment horizontal="centerContinuous"/>
    </xf>
    <xf numFmtId="0" fontId="0" fillId="18" borderId="11" xfId="0" applyFill="1" applyBorder="1"/>
    <xf numFmtId="0" fontId="0" fillId="18" borderId="12" xfId="0" applyFill="1" applyBorder="1"/>
    <xf numFmtId="0" fontId="0" fillId="18" borderId="8" xfId="0" applyFill="1" applyBorder="1"/>
    <xf numFmtId="0" fontId="0" fillId="18" borderId="9" xfId="0" applyFill="1" applyBorder="1"/>
    <xf numFmtId="0" fontId="36" fillId="10" borderId="0" xfId="0" applyFont="1" applyFill="1" applyAlignment="1">
      <alignment horizontal="center"/>
    </xf>
    <xf numFmtId="0" fontId="0" fillId="18" borderId="10" xfId="0" applyFill="1" applyBorder="1"/>
    <xf numFmtId="4" fontId="0" fillId="10" borderId="0" xfId="0" applyNumberFormat="1" applyFill="1" applyAlignment="1">
      <alignment horizontal="center"/>
    </xf>
    <xf numFmtId="0" fontId="0" fillId="18" borderId="6" xfId="0" applyFill="1" applyBorder="1"/>
    <xf numFmtId="0" fontId="0" fillId="18" borderId="7" xfId="0" applyFill="1" applyBorder="1" applyAlignment="1">
      <alignment horizontal="center"/>
    </xf>
    <xf numFmtId="0" fontId="0" fillId="18" borderId="5" xfId="0" applyFill="1" applyBorder="1"/>
    <xf numFmtId="0" fontId="0" fillId="0" borderId="0" xfId="0" applyAlignment="1">
      <alignment horizontal="center"/>
    </xf>
    <xf numFmtId="0" fontId="36" fillId="0" borderId="13" xfId="0" applyFont="1" applyBorder="1" applyAlignment="1">
      <alignment horizontal="center"/>
    </xf>
    <xf numFmtId="0" fontId="36" fillId="0" borderId="14" xfId="0" applyFont="1" applyBorder="1" applyAlignment="1">
      <alignment horizontal="center"/>
    </xf>
    <xf numFmtId="10" fontId="0" fillId="10" borderId="0" xfId="5" applyNumberFormat="1" applyFont="1" applyFill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0" fillId="13" borderId="11" xfId="0" applyFill="1" applyBorder="1"/>
    <xf numFmtId="0" fontId="0" fillId="13" borderId="12" xfId="0" applyFill="1" applyBorder="1"/>
    <xf numFmtId="0" fontId="0" fillId="13" borderId="8" xfId="0" applyFill="1" applyBorder="1"/>
    <xf numFmtId="0" fontId="0" fillId="13" borderId="9" xfId="0" applyFill="1" applyBorder="1"/>
    <xf numFmtId="0" fontId="36" fillId="19" borderId="0" xfId="0" applyFont="1" applyFill="1" applyAlignment="1">
      <alignment horizontal="center"/>
    </xf>
    <xf numFmtId="0" fontId="0" fillId="13" borderId="10" xfId="0" applyFill="1" applyBorder="1"/>
    <xf numFmtId="10" fontId="0" fillId="19" borderId="0" xfId="5" applyNumberFormat="1" applyFont="1" applyFill="1" applyBorder="1" applyAlignment="1">
      <alignment horizontal="center"/>
    </xf>
    <xf numFmtId="0" fontId="0" fillId="13" borderId="6" xfId="0" applyFill="1" applyBorder="1"/>
    <xf numFmtId="0" fontId="0" fillId="13" borderId="7" xfId="0" applyFill="1" applyBorder="1" applyAlignment="1">
      <alignment horizontal="center"/>
    </xf>
    <xf numFmtId="0" fontId="0" fillId="13" borderId="5" xfId="0" applyFill="1" applyBorder="1"/>
    <xf numFmtId="0" fontId="0" fillId="14" borderId="11" xfId="0" applyFill="1" applyBorder="1"/>
    <xf numFmtId="0" fontId="0" fillId="14" borderId="12" xfId="0" applyFill="1" applyBorder="1"/>
    <xf numFmtId="0" fontId="0" fillId="14" borderId="8" xfId="0" applyFill="1" applyBorder="1"/>
    <xf numFmtId="0" fontId="0" fillId="14" borderId="9" xfId="0" applyFill="1" applyBorder="1"/>
    <xf numFmtId="0" fontId="36" fillId="20" borderId="0" xfId="0" applyFont="1" applyFill="1" applyAlignment="1">
      <alignment horizontal="center"/>
    </xf>
    <xf numFmtId="0" fontId="0" fillId="14" borderId="10" xfId="0" applyFill="1" applyBorder="1"/>
    <xf numFmtId="4" fontId="0" fillId="20" borderId="0" xfId="0" applyNumberFormat="1" applyFill="1" applyAlignment="1">
      <alignment horizontal="center"/>
    </xf>
    <xf numFmtId="0" fontId="0" fillId="14" borderId="6" xfId="0" applyFill="1" applyBorder="1"/>
    <xf numFmtId="0" fontId="0" fillId="14" borderId="7" xfId="0" applyFill="1" applyBorder="1" applyAlignment="1">
      <alignment horizontal="center"/>
    </xf>
    <xf numFmtId="0" fontId="0" fillId="14" borderId="5" xfId="0" applyFill="1" applyBorder="1"/>
    <xf numFmtId="0" fontId="0" fillId="21" borderId="11" xfId="0" applyFill="1" applyBorder="1"/>
    <xf numFmtId="0" fontId="0" fillId="21" borderId="12" xfId="0" applyFill="1" applyBorder="1"/>
    <xf numFmtId="0" fontId="0" fillId="21" borderId="8" xfId="0" applyFill="1" applyBorder="1"/>
    <xf numFmtId="0" fontId="0" fillId="21" borderId="9" xfId="0" applyFill="1" applyBorder="1"/>
    <xf numFmtId="0" fontId="36" fillId="4" borderId="0" xfId="0" applyFont="1" applyFill="1" applyAlignment="1">
      <alignment horizontal="center"/>
    </xf>
    <xf numFmtId="0" fontId="0" fillId="21" borderId="10" xfId="0" applyFill="1" applyBorder="1"/>
    <xf numFmtId="10" fontId="0" fillId="4" borderId="0" xfId="5" applyNumberFormat="1" applyFont="1" applyFill="1" applyBorder="1" applyAlignment="1">
      <alignment horizontal="center"/>
    </xf>
    <xf numFmtId="0" fontId="0" fillId="21" borderId="6" xfId="0" applyFill="1" applyBorder="1"/>
    <xf numFmtId="0" fontId="0" fillId="21" borderId="7" xfId="0" applyFill="1" applyBorder="1" applyAlignment="1">
      <alignment horizontal="center"/>
    </xf>
    <xf numFmtId="0" fontId="0" fillId="21" borderId="5" xfId="0" applyFill="1" applyBorder="1"/>
    <xf numFmtId="4" fontId="0" fillId="19" borderId="0" xfId="0" applyNumberFormat="1" applyFill="1" applyAlignment="1">
      <alignment horizontal="center"/>
    </xf>
    <xf numFmtId="0" fontId="7" fillId="14" borderId="16" xfId="7" applyFont="1" applyFill="1" applyBorder="1" applyAlignment="1">
      <alignment horizontal="center"/>
    </xf>
    <xf numFmtId="1" fontId="13" fillId="2" borderId="0" xfId="7" applyNumberFormat="1" applyFont="1" applyFill="1"/>
    <xf numFmtId="9" fontId="32" fillId="2" borderId="0" xfId="5" applyFont="1" applyFill="1" applyAlignment="1">
      <alignment horizontal="right" wrapText="1"/>
    </xf>
    <xf numFmtId="169" fontId="30" fillId="2" borderId="0" xfId="5" applyNumberFormat="1" applyFont="1" applyFill="1" applyBorder="1"/>
    <xf numFmtId="10" fontId="30" fillId="2" borderId="0" xfId="5" applyNumberFormat="1" applyFont="1" applyFill="1" applyAlignment="1">
      <alignment horizontal="center"/>
    </xf>
    <xf numFmtId="2" fontId="13" fillId="2" borderId="0" xfId="5" applyNumberFormat="1" applyFont="1" applyFill="1"/>
    <xf numFmtId="0" fontId="31" fillId="2" borderId="2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vertical="center" wrapText="1"/>
    </xf>
    <xf numFmtId="0" fontId="25" fillId="15" borderId="0" xfId="7" applyFont="1" applyFill="1" applyAlignment="1">
      <alignment horizontal="center" vertical="center" wrapText="1"/>
    </xf>
    <xf numFmtId="0" fontId="31" fillId="2" borderId="0" xfId="0" applyFont="1" applyFill="1" applyAlignment="1">
      <alignment horizontal="left" vertical="center" wrapText="1" indent="2"/>
    </xf>
    <xf numFmtId="165" fontId="33" fillId="2" borderId="17" xfId="1" applyNumberFormat="1" applyFont="1" applyFill="1" applyBorder="1" applyAlignment="1">
      <alignment horizontal="center" vertical="center" wrapText="1"/>
    </xf>
    <xf numFmtId="166" fontId="34" fillId="3" borderId="18" xfId="4" applyNumberFormat="1" applyFont="1" applyFill="1" applyBorder="1" applyAlignment="1">
      <alignment horizontal="right" vertical="center"/>
    </xf>
    <xf numFmtId="0" fontId="0" fillId="2" borderId="0" xfId="0" applyFill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169" fontId="28" fillId="2" borderId="14" xfId="0" applyNumberFormat="1" applyFont="1" applyFill="1" applyBorder="1" applyAlignment="1">
      <alignment horizontal="center" vertical="center" wrapText="1"/>
    </xf>
    <xf numFmtId="0" fontId="25" fillId="9" borderId="11" xfId="0" applyFont="1" applyFill="1" applyBorder="1" applyAlignment="1">
      <alignment horizontal="center" vertical="center" wrapText="1"/>
    </xf>
    <xf numFmtId="0" fontId="25" fillId="9" borderId="8" xfId="0" applyFont="1" applyFill="1" applyBorder="1" applyAlignment="1">
      <alignment horizontal="center" vertical="center" wrapText="1"/>
    </xf>
    <xf numFmtId="0" fontId="25" fillId="9" borderId="9" xfId="0" applyFont="1" applyFill="1" applyBorder="1" applyAlignment="1">
      <alignment horizontal="center" vertical="center" wrapText="1"/>
    </xf>
    <xf numFmtId="0" fontId="25" fillId="9" borderId="10" xfId="0" applyFont="1" applyFill="1" applyBorder="1" applyAlignment="1">
      <alignment horizontal="center" vertical="center" wrapText="1"/>
    </xf>
    <xf numFmtId="169" fontId="28" fillId="2" borderId="15" xfId="0" applyNumberFormat="1" applyFont="1" applyFill="1" applyBorder="1" applyAlignment="1">
      <alignment horizontal="center" vertical="center" wrapText="1"/>
    </xf>
    <xf numFmtId="0" fontId="25" fillId="9" borderId="19" xfId="0" applyFont="1" applyFill="1" applyBorder="1" applyAlignment="1">
      <alignment horizontal="center" vertical="center" wrapText="1"/>
    </xf>
    <xf numFmtId="0" fontId="25" fillId="9" borderId="20" xfId="0" applyFont="1" applyFill="1" applyBorder="1" applyAlignment="1">
      <alignment horizontal="center" vertical="center" wrapText="1"/>
    </xf>
    <xf numFmtId="0" fontId="25" fillId="9" borderId="6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25" fillId="20" borderId="5" xfId="0" applyFont="1" applyFill="1" applyBorder="1" applyAlignment="1">
      <alignment horizontal="center" vertical="center" wrapText="1"/>
    </xf>
    <xf numFmtId="0" fontId="25" fillId="20" borderId="11" xfId="0" applyFont="1" applyFill="1" applyBorder="1" applyAlignment="1">
      <alignment horizontal="center" vertical="center" wrapText="1"/>
    </xf>
    <xf numFmtId="0" fontId="25" fillId="20" borderId="8" xfId="0" applyFont="1" applyFill="1" applyBorder="1" applyAlignment="1">
      <alignment horizontal="center" vertical="center" wrapText="1"/>
    </xf>
    <xf numFmtId="0" fontId="25" fillId="20" borderId="9" xfId="0" applyFont="1" applyFill="1" applyBorder="1" applyAlignment="1">
      <alignment horizontal="center" vertical="center" wrapText="1"/>
    </xf>
    <xf numFmtId="0" fontId="25" fillId="20" borderId="10" xfId="0" applyFont="1" applyFill="1" applyBorder="1" applyAlignment="1">
      <alignment horizontal="center" vertical="center" wrapText="1"/>
    </xf>
    <xf numFmtId="0" fontId="25" fillId="20" borderId="6" xfId="0" applyFont="1" applyFill="1" applyBorder="1" applyAlignment="1">
      <alignment horizontal="center" vertical="center" wrapText="1"/>
    </xf>
    <xf numFmtId="10" fontId="1" fillId="2" borderId="0" xfId="7" applyNumberFormat="1" applyFill="1" applyAlignment="1">
      <alignment horizontal="center"/>
    </xf>
    <xf numFmtId="0" fontId="32" fillId="0" borderId="0" xfId="0" applyFont="1" applyAlignment="1">
      <alignment horizontal="left" vertical="center" wrapText="1"/>
    </xf>
    <xf numFmtId="165" fontId="30" fillId="0" borderId="0" xfId="1" applyNumberFormat="1" applyFont="1"/>
    <xf numFmtId="167" fontId="30" fillId="2" borderId="0" xfId="1" applyNumberFormat="1" applyFont="1" applyFill="1" applyAlignment="1">
      <alignment horizontal="right" wrapText="1"/>
    </xf>
    <xf numFmtId="165" fontId="30" fillId="2" borderId="0" xfId="1" applyNumberFormat="1" applyFont="1" applyFill="1" applyBorder="1" applyAlignment="1">
      <alignment horizontal="center" vertical="center" wrapText="1"/>
    </xf>
    <xf numFmtId="43" fontId="13" fillId="2" borderId="0" xfId="7" applyNumberFormat="1" applyFont="1" applyFill="1"/>
    <xf numFmtId="43" fontId="30" fillId="0" borderId="0" xfId="0" applyNumberFormat="1" applyFont="1"/>
    <xf numFmtId="0" fontId="33" fillId="0" borderId="0" xfId="0" applyFont="1"/>
    <xf numFmtId="3" fontId="29" fillId="25" borderId="0" xfId="0" applyNumberFormat="1" applyFont="1" applyFill="1" applyAlignment="1">
      <alignment horizontal="center"/>
    </xf>
    <xf numFmtId="0" fontId="29" fillId="25" borderId="0" xfId="0" applyFont="1" applyFill="1" applyAlignment="1">
      <alignment horizontal="center"/>
    </xf>
    <xf numFmtId="0" fontId="1" fillId="2" borderId="0" xfId="7" applyFill="1" applyAlignment="1">
      <alignment horizontal="center" vertical="center"/>
    </xf>
    <xf numFmtId="165" fontId="30" fillId="2" borderId="0" xfId="1" applyNumberFormat="1" applyFont="1" applyFill="1"/>
    <xf numFmtId="1" fontId="25" fillId="2" borderId="5" xfId="7" applyNumberFormat="1" applyFont="1" applyFill="1" applyBorder="1" applyAlignment="1">
      <alignment horizontal="center"/>
    </xf>
    <xf numFmtId="4" fontId="1" fillId="2" borderId="0" xfId="7" applyNumberFormat="1" applyFill="1"/>
    <xf numFmtId="9" fontId="1" fillId="2" borderId="0" xfId="7" applyNumberFormat="1" applyFill="1"/>
    <xf numFmtId="3" fontId="29" fillId="25" borderId="0" xfId="0" applyNumberFormat="1" applyFont="1" applyFill="1" applyAlignment="1">
      <alignment horizontal="center" vertical="center"/>
    </xf>
    <xf numFmtId="0" fontId="29" fillId="25" borderId="0" xfId="0" applyFont="1" applyFill="1" applyAlignment="1">
      <alignment horizontal="center" vertical="center"/>
    </xf>
    <xf numFmtId="167" fontId="30" fillId="2" borderId="0" xfId="0" applyNumberFormat="1" applyFont="1" applyFill="1"/>
    <xf numFmtId="167" fontId="30" fillId="0" borderId="0" xfId="0" applyNumberFormat="1" applyFont="1"/>
    <xf numFmtId="10" fontId="30" fillId="0" borderId="0" xfId="0" applyNumberFormat="1" applyFont="1"/>
    <xf numFmtId="10" fontId="30" fillId="0" borderId="0" xfId="0" applyNumberFormat="1" applyFont="1" applyAlignment="1">
      <alignment horizontal="center"/>
    </xf>
    <xf numFmtId="17" fontId="29" fillId="25" borderId="0" xfId="0" applyNumberFormat="1" applyFont="1" applyFill="1" applyAlignment="1">
      <alignment horizontal="center"/>
    </xf>
    <xf numFmtId="10" fontId="30" fillId="2" borderId="0" xfId="5" applyNumberFormat="1" applyFont="1" applyFill="1"/>
    <xf numFmtId="10" fontId="30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49" fontId="8" fillId="2" borderId="0" xfId="0" applyNumberFormat="1" applyFont="1" applyFill="1" applyAlignment="1">
      <alignment horizontal="center" vertical="center" wrapText="1"/>
    </xf>
    <xf numFmtId="168" fontId="30" fillId="2" borderId="0" xfId="0" applyNumberFormat="1" applyFont="1" applyFill="1"/>
    <xf numFmtId="10" fontId="16" fillId="27" borderId="0" xfId="8" applyNumberFormat="1" applyFont="1" applyFill="1" applyAlignment="1">
      <alignment horizontal="center"/>
    </xf>
    <xf numFmtId="0" fontId="13" fillId="2" borderId="0" xfId="7" applyFont="1" applyFill="1" applyAlignment="1">
      <alignment horizontal="center"/>
    </xf>
    <xf numFmtId="10" fontId="8" fillId="2" borderId="0" xfId="7" applyNumberFormat="1" applyFont="1" applyFill="1" applyAlignment="1">
      <alignment horizontal="left"/>
    </xf>
    <xf numFmtId="10" fontId="8" fillId="2" borderId="0" xfId="7" applyNumberFormat="1" applyFont="1" applyFill="1" applyAlignment="1">
      <alignment horizontal="center" vertical="center"/>
    </xf>
    <xf numFmtId="0" fontId="8" fillId="12" borderId="0" xfId="7" applyFont="1" applyFill="1" applyAlignment="1">
      <alignment horizontal="center" vertical="center"/>
    </xf>
    <xf numFmtId="0" fontId="30" fillId="0" borderId="0" xfId="0" applyFont="1" applyAlignment="1">
      <alignment horizontal="center"/>
    </xf>
    <xf numFmtId="166" fontId="30" fillId="2" borderId="0" xfId="0" applyNumberFormat="1" applyFont="1" applyFill="1"/>
    <xf numFmtId="165" fontId="30" fillId="2" borderId="0" xfId="0" applyNumberFormat="1" applyFont="1" applyFill="1"/>
    <xf numFmtId="17" fontId="29" fillId="25" borderId="0" xfId="0" applyNumberFormat="1" applyFont="1" applyFill="1" applyAlignment="1">
      <alignment horizontal="center" vertical="center"/>
    </xf>
    <xf numFmtId="169" fontId="8" fillId="2" borderId="0" xfId="7" applyNumberFormat="1" applyFont="1" applyFill="1" applyAlignment="1">
      <alignment horizontal="center" vertical="center"/>
    </xf>
    <xf numFmtId="0" fontId="8" fillId="11" borderId="0" xfId="7" applyFont="1" applyFill="1" applyAlignment="1">
      <alignment horizontal="center" vertical="center"/>
    </xf>
    <xf numFmtId="0" fontId="8" fillId="11" borderId="3" xfId="7" applyFont="1" applyFill="1" applyBorder="1" applyAlignment="1">
      <alignment horizontal="center" vertical="center"/>
    </xf>
    <xf numFmtId="169" fontId="8" fillId="2" borderId="3" xfId="7" applyNumberFormat="1" applyFont="1" applyFill="1" applyBorder="1" applyAlignment="1">
      <alignment horizontal="center" vertical="center"/>
    </xf>
    <xf numFmtId="169" fontId="8" fillId="2" borderId="0" xfId="0" applyNumberFormat="1" applyFont="1" applyFill="1" applyAlignment="1">
      <alignment horizontal="center" vertical="center"/>
    </xf>
    <xf numFmtId="169" fontId="8" fillId="2" borderId="3" xfId="0" applyNumberFormat="1" applyFont="1" applyFill="1" applyBorder="1" applyAlignment="1">
      <alignment horizontal="center" vertical="center"/>
    </xf>
    <xf numFmtId="0" fontId="8" fillId="26" borderId="0" xfId="0" applyFont="1" applyFill="1" applyAlignment="1">
      <alignment horizontal="center" vertical="center"/>
    </xf>
    <xf numFmtId="0" fontId="8" fillId="26" borderId="3" xfId="0" applyFont="1" applyFill="1" applyBorder="1" applyAlignment="1">
      <alignment horizontal="center" vertical="center"/>
    </xf>
    <xf numFmtId="10" fontId="8" fillId="2" borderId="0" xfId="7" applyNumberFormat="1" applyFont="1" applyFill="1" applyAlignment="1">
      <alignment horizontal="center" vertical="center"/>
    </xf>
    <xf numFmtId="0" fontId="8" fillId="12" borderId="0" xfId="7" applyFont="1" applyFill="1" applyAlignment="1">
      <alignment horizontal="center" vertical="center"/>
    </xf>
    <xf numFmtId="0" fontId="8" fillId="12" borderId="3" xfId="7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169" fontId="8" fillId="2" borderId="4" xfId="7" applyNumberFormat="1" applyFont="1" applyFill="1" applyBorder="1" applyAlignment="1">
      <alignment horizontal="center" vertical="center"/>
    </xf>
    <xf numFmtId="0" fontId="8" fillId="6" borderId="0" xfId="7" applyFont="1" applyFill="1" applyAlignment="1">
      <alignment horizontal="center" vertical="center"/>
    </xf>
    <xf numFmtId="0" fontId="8" fillId="6" borderId="3" xfId="7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1" fontId="28" fillId="2" borderId="13" xfId="0" applyNumberFormat="1" applyFont="1" applyFill="1" applyBorder="1" applyAlignment="1">
      <alignment horizontal="center" vertical="center"/>
    </xf>
    <xf numFmtId="0" fontId="28" fillId="2" borderId="15" xfId="0" applyFont="1" applyFill="1" applyBorder="1" applyAlignment="1">
      <alignment horizontal="center" vertical="center"/>
    </xf>
    <xf numFmtId="0" fontId="39" fillId="5" borderId="19" xfId="0" applyFont="1" applyFill="1" applyBorder="1" applyAlignment="1">
      <alignment horizontal="center"/>
    </xf>
    <xf numFmtId="0" fontId="39" fillId="5" borderId="20" xfId="0" applyFont="1" applyFill="1" applyBorder="1" applyAlignment="1">
      <alignment horizontal="center"/>
    </xf>
    <xf numFmtId="0" fontId="39" fillId="22" borderId="19" xfId="0" applyFont="1" applyFill="1" applyBorder="1" applyAlignment="1">
      <alignment horizontal="center"/>
    </xf>
    <xf numFmtId="0" fontId="39" fillId="22" borderId="20" xfId="0" applyFont="1" applyFill="1" applyBorder="1" applyAlignment="1">
      <alignment horizontal="center"/>
    </xf>
    <xf numFmtId="0" fontId="39" fillId="23" borderId="19" xfId="0" applyFont="1" applyFill="1" applyBorder="1" applyAlignment="1">
      <alignment horizontal="center"/>
    </xf>
    <xf numFmtId="0" fontId="39" fillId="23" borderId="20" xfId="0" applyFont="1" applyFill="1" applyBorder="1" applyAlignment="1">
      <alignment horizontal="center"/>
    </xf>
    <xf numFmtId="0" fontId="39" fillId="24" borderId="19" xfId="0" applyFont="1" applyFill="1" applyBorder="1" applyAlignment="1">
      <alignment horizontal="center"/>
    </xf>
    <xf numFmtId="0" fontId="39" fillId="24" borderId="20" xfId="0" applyFont="1" applyFill="1" applyBorder="1" applyAlignment="1">
      <alignment horizontal="center"/>
    </xf>
    <xf numFmtId="0" fontId="39" fillId="11" borderId="19" xfId="0" applyFont="1" applyFill="1" applyBorder="1" applyAlignment="1">
      <alignment horizontal="center"/>
    </xf>
    <xf numFmtId="0" fontId="39" fillId="11" borderId="20" xfId="0" applyFont="1" applyFill="1" applyBorder="1" applyAlignment="1">
      <alignment horizontal="center"/>
    </xf>
    <xf numFmtId="0" fontId="27" fillId="2" borderId="0" xfId="7" applyFont="1" applyFill="1" applyAlignment="1">
      <alignment horizontal="center" vertical="center"/>
    </xf>
    <xf numFmtId="0" fontId="23" fillId="4" borderId="0" xfId="7" applyFont="1" applyFill="1" applyAlignment="1">
      <alignment horizontal="left" vertical="center"/>
    </xf>
    <xf numFmtId="0" fontId="27" fillId="2" borderId="0" xfId="7" applyFont="1" applyFill="1" applyAlignment="1">
      <alignment horizontal="right" vertical="center" textRotation="90" wrapText="1"/>
    </xf>
    <xf numFmtId="0" fontId="26" fillId="2" borderId="0" xfId="7" applyFont="1" applyFill="1" applyAlignment="1">
      <alignment horizontal="center" vertical="center" textRotation="90" wrapText="1"/>
    </xf>
    <xf numFmtId="0" fontId="32" fillId="10" borderId="0" xfId="0" applyFont="1" applyFill="1" applyAlignment="1">
      <alignment horizontal="left" vertical="center" wrapText="1"/>
    </xf>
    <xf numFmtId="0" fontId="31" fillId="10" borderId="0" xfId="0" applyFont="1" applyFill="1" applyAlignment="1">
      <alignment horizontal="left" vertical="center" wrapText="1"/>
    </xf>
  </cellXfs>
  <cellStyles count="10">
    <cellStyle name="Hipervínculo 2" xfId="9" xr:uid="{9408586F-BADB-9144-AD1B-AC678FC514A8}"/>
    <cellStyle name="Millares" xfId="1" builtinId="3"/>
    <cellStyle name="Millares 2" xfId="3" xr:uid="{00000000-0005-0000-0000-000001000000}"/>
    <cellStyle name="Millares 3" xfId="2" xr:uid="{00000000-0005-0000-0000-000002000000}"/>
    <cellStyle name="Normal" xfId="0" builtinId="0"/>
    <cellStyle name="Normal 2" xfId="4" xr:uid="{7CE86095-252C-405A-830C-89D3099F7126}"/>
    <cellStyle name="Normal 3" xfId="6" xr:uid="{3594D53C-8E6B-8545-B445-718193235758}"/>
    <cellStyle name="Normal 4" xfId="7" xr:uid="{86A7304C-6469-8F41-9CFD-E5997FF11AFE}"/>
    <cellStyle name="Porcentaje" xfId="5" builtinId="5"/>
    <cellStyle name="Porcentaje 2" xfId="8" xr:uid="{85DCBB51-9C9C-8442-AA4C-47960801E71E}"/>
  </cellStyles>
  <dxfs count="0"/>
  <tableStyles count="0" defaultTableStyle="TableStyleMedium2" defaultPivotStyle="PivotStyleLight16"/>
  <colors>
    <mruColors>
      <color rgb="FF425563"/>
      <color rgb="FF556B5B"/>
      <color rgb="FFD297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'Matriz de Credito y Tasas'!$I$4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1666686716248197E-2"/>
                  <c:y val="9.33441573356188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45-AA4C-AA53-E6C93C0743E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45-AA4C-AA53-E6C93C0743E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45-AA4C-AA53-E6C93C0743E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45-AA4C-AA53-E6C93C0743E3}"/>
                </c:ext>
              </c:extLst>
            </c:dLbl>
            <c:dLbl>
              <c:idx val="4"/>
              <c:layout>
                <c:manualLayout>
                  <c:x val="-1.018506975412154E-16"/>
                  <c:y val="1.8668831467123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45-AA4C-AA53-E6C93C0743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'Matriz de Credito y Tasas'!$J$3:$N$3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'Matriz de Credito y Tasas'!$J$4:$N$4</c:f>
              <c:numCache>
                <c:formatCode>0.0</c:formatCode>
                <c:ptCount val="5"/>
                <c:pt idx="0">
                  <c:v>17.288600000000002</c:v>
                </c:pt>
                <c:pt idx="1">
                  <c:v>19.288600000000002</c:v>
                </c:pt>
                <c:pt idx="2">
                  <c:v>23.288600000000002</c:v>
                </c:pt>
                <c:pt idx="3">
                  <c:v>29.288600000000002</c:v>
                </c:pt>
                <c:pt idx="4">
                  <c:v>37.288600000000002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45-AA4C-AA53-E6C93C0743E3}"/>
            </c:ext>
          </c:extLst>
        </c:ser>
        <c:ser>
          <c:idx val="1"/>
          <c:order val="1"/>
          <c:tx>
            <c:strRef>
              <c:f>'Matriz de Credito y Tasas'!$I$5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5000016404203076E-2"/>
                  <c:y val="-4.667207866780982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45-AA4C-AA53-E6C93C0743E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45-AA4C-AA53-E6C93C0743E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645-AA4C-AA53-E6C93C0743E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645-AA4C-AA53-E6C93C0743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'Matriz de Credito y Tasas'!$J$3:$N$3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'Matriz de Credito y Tasas'!$J$5:$N$5</c:f>
              <c:numCache>
                <c:formatCode>0.0</c:formatCode>
                <c:ptCount val="5"/>
                <c:pt idx="0">
                  <c:v>19.788600000000002</c:v>
                </c:pt>
                <c:pt idx="1">
                  <c:v>21.788600000000002</c:v>
                </c:pt>
                <c:pt idx="2">
                  <c:v>25.788600000000002</c:v>
                </c:pt>
                <c:pt idx="3">
                  <c:v>31.788600000000002</c:v>
                </c:pt>
                <c:pt idx="4">
                  <c:v>39.788600000000002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645-AA4C-AA53-E6C93C0743E3}"/>
            </c:ext>
          </c:extLst>
        </c:ser>
        <c:ser>
          <c:idx val="2"/>
          <c:order val="2"/>
          <c:tx>
            <c:strRef>
              <c:f>'Matriz de Credito y Tasas'!$I$6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2222238018862239E-2"/>
                  <c:y val="-4.667207866780982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645-AA4C-AA53-E6C93C0743E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645-AA4C-AA53-E6C93C0743E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645-AA4C-AA53-E6C93C0743E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645-AA4C-AA53-E6C93C0743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'Matriz de Credito y Tasas'!$J$3:$N$3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'Matriz de Credito y Tasas'!$J$6:$N$6</c:f>
              <c:numCache>
                <c:formatCode>0.0</c:formatCode>
                <c:ptCount val="5"/>
                <c:pt idx="0">
                  <c:v>24.788600000000002</c:v>
                </c:pt>
                <c:pt idx="1">
                  <c:v>26.788600000000002</c:v>
                </c:pt>
                <c:pt idx="2">
                  <c:v>30.788600000000002</c:v>
                </c:pt>
                <c:pt idx="3">
                  <c:v>36.788600000000002</c:v>
                </c:pt>
                <c:pt idx="4">
                  <c:v>44.788599999999995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645-AA4C-AA53-E6C93C0743E3}"/>
            </c:ext>
          </c:extLst>
        </c:ser>
        <c:ser>
          <c:idx val="3"/>
          <c:order val="3"/>
          <c:tx>
            <c:strRef>
              <c:f>'Matriz de Credito y Tasas'!$I$7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500001640420306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645-AA4C-AA53-E6C93C0743E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645-AA4C-AA53-E6C93C0743E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645-AA4C-AA53-E6C93C0743E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645-AA4C-AA53-E6C93C0743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'Matriz de Credito y Tasas'!$J$3:$N$3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'Matriz de Credito y Tasas'!$J$7:$N$7</c:f>
              <c:numCache>
                <c:formatCode>0.0</c:formatCode>
                <c:ptCount val="5"/>
                <c:pt idx="0">
                  <c:v>32.288600000000002</c:v>
                </c:pt>
                <c:pt idx="1">
                  <c:v>34.288600000000002</c:v>
                </c:pt>
                <c:pt idx="2">
                  <c:v>38.288600000000002</c:v>
                </c:pt>
                <c:pt idx="3">
                  <c:v>44.288599999999995</c:v>
                </c:pt>
                <c:pt idx="4">
                  <c:v>52.288599999999995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645-AA4C-AA53-E6C93C0743E3}"/>
            </c:ext>
          </c:extLst>
        </c:ser>
        <c:ser>
          <c:idx val="4"/>
          <c:order val="4"/>
          <c:tx>
            <c:strRef>
              <c:f>'Matriz de Credito y Tasas'!$I$8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777779478954392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645-AA4C-AA53-E6C93C0743E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645-AA4C-AA53-E6C93C0743E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645-AA4C-AA53-E6C93C0743E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645-AA4C-AA53-E6C93C0743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'Matriz de Credito y Tasas'!$J$3:$N$3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'Matriz de Credito y Tasas'!$J$8:$N$8</c:f>
              <c:numCache>
                <c:formatCode>0.0</c:formatCode>
                <c:ptCount val="5"/>
                <c:pt idx="0">
                  <c:v>42.288599999999995</c:v>
                </c:pt>
                <c:pt idx="1">
                  <c:v>44.288599999999995</c:v>
                </c:pt>
                <c:pt idx="2">
                  <c:v>48.288599999999995</c:v>
                </c:pt>
                <c:pt idx="3">
                  <c:v>54.288599999999995</c:v>
                </c:pt>
                <c:pt idx="4">
                  <c:v>62.288599999999995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645-AA4C-AA53-E6C93C074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345952"/>
        <c:axId val="495075120"/>
      </c:lineChart>
      <c:catAx>
        <c:axId val="50234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5075120"/>
        <c:crosses val="autoZero"/>
        <c:auto val="1"/>
        <c:lblAlgn val="ctr"/>
        <c:lblOffset val="100"/>
        <c:noMultiLvlLbl val="0"/>
      </c:catAx>
      <c:valAx>
        <c:axId val="495075120"/>
        <c:scaling>
          <c:orientation val="minMax"/>
          <c:max val="60"/>
        </c:scaling>
        <c:delete val="1"/>
        <c:axPos val="l"/>
        <c:numFmt formatCode="0" sourceLinked="0"/>
        <c:majorTickMark val="none"/>
        <c:minorTickMark val="none"/>
        <c:tickLblPos val="nextTo"/>
        <c:crossAx val="50234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184149</xdr:rowOff>
    </xdr:from>
    <xdr:to>
      <xdr:col>1</xdr:col>
      <xdr:colOff>481650</xdr:colOff>
      <xdr:row>23</xdr:row>
      <xdr:rowOff>5999</xdr:rowOff>
    </xdr:to>
    <xdr:grpSp>
      <xdr:nvGrpSpPr>
        <xdr:cNvPr id="2" name="33 Grupo">
          <a:extLst>
            <a:ext uri="{FF2B5EF4-FFF2-40B4-BE49-F238E27FC236}">
              <a16:creationId xmlns:a16="http://schemas.microsoft.com/office/drawing/2014/main" id="{6AA2CEB7-32FA-4093-A240-B6712ED05D7C}"/>
            </a:ext>
          </a:extLst>
        </xdr:cNvPr>
        <xdr:cNvGrpSpPr/>
      </xdr:nvGrpSpPr>
      <xdr:grpSpPr>
        <a:xfrm>
          <a:off x="1377950" y="825499"/>
          <a:ext cx="481650" cy="3689000"/>
          <a:chOff x="1314450" y="571499"/>
          <a:chExt cx="481650" cy="3816000"/>
        </a:xfrm>
      </xdr:grpSpPr>
      <xdr:cxnSp macro="">
        <xdr:nvCxnSpPr>
          <xdr:cNvPr id="3" name="4 Conector recto">
            <a:extLst>
              <a:ext uri="{FF2B5EF4-FFF2-40B4-BE49-F238E27FC236}">
                <a16:creationId xmlns:a16="http://schemas.microsoft.com/office/drawing/2014/main" id="{1B2C3A56-C1B0-4D7D-AE2C-F2997F7EDEA3}"/>
              </a:ext>
            </a:extLst>
          </xdr:cNvPr>
          <xdr:cNvCxnSpPr/>
        </xdr:nvCxnSpPr>
        <xdr:spPr>
          <a:xfrm>
            <a:off x="1562100" y="571500"/>
            <a:ext cx="234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5 Conector recto">
            <a:extLst>
              <a:ext uri="{FF2B5EF4-FFF2-40B4-BE49-F238E27FC236}">
                <a16:creationId xmlns:a16="http://schemas.microsoft.com/office/drawing/2014/main" id="{C3DEEF76-294D-1E0E-C0A1-7329E1036838}"/>
              </a:ext>
            </a:extLst>
          </xdr:cNvPr>
          <xdr:cNvCxnSpPr/>
        </xdr:nvCxnSpPr>
        <xdr:spPr>
          <a:xfrm>
            <a:off x="1562100" y="4381500"/>
            <a:ext cx="234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6 Conector recto">
            <a:extLst>
              <a:ext uri="{FF2B5EF4-FFF2-40B4-BE49-F238E27FC236}">
                <a16:creationId xmlns:a16="http://schemas.microsoft.com/office/drawing/2014/main" id="{505AE044-7E8E-6DC1-04F8-56A6E2A89291}"/>
              </a:ext>
            </a:extLst>
          </xdr:cNvPr>
          <xdr:cNvCxnSpPr/>
        </xdr:nvCxnSpPr>
        <xdr:spPr>
          <a:xfrm>
            <a:off x="1314450" y="24765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8 Conector recto">
            <a:extLst>
              <a:ext uri="{FF2B5EF4-FFF2-40B4-BE49-F238E27FC236}">
                <a16:creationId xmlns:a16="http://schemas.microsoft.com/office/drawing/2014/main" id="{D3315195-7D94-8FF9-0A1E-807D735BE4D6}"/>
              </a:ext>
            </a:extLst>
          </xdr:cNvPr>
          <xdr:cNvCxnSpPr/>
        </xdr:nvCxnSpPr>
        <xdr:spPr>
          <a:xfrm>
            <a:off x="1571625" y="571499"/>
            <a:ext cx="0" cy="381600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152400</xdr:colOff>
      <xdr:row>3</xdr:row>
      <xdr:rowOff>0</xdr:rowOff>
    </xdr:from>
    <xdr:to>
      <xdr:col>6</xdr:col>
      <xdr:colOff>4350</xdr:colOff>
      <xdr:row>23</xdr:row>
      <xdr:rowOff>6000</xdr:rowOff>
    </xdr:to>
    <xdr:grpSp>
      <xdr:nvGrpSpPr>
        <xdr:cNvPr id="7" name="34 Grupo">
          <a:extLst>
            <a:ext uri="{FF2B5EF4-FFF2-40B4-BE49-F238E27FC236}">
              <a16:creationId xmlns:a16="http://schemas.microsoft.com/office/drawing/2014/main" id="{0AD91073-FBFE-405B-A15D-5F1A276861C5}"/>
            </a:ext>
          </a:extLst>
        </xdr:cNvPr>
        <xdr:cNvGrpSpPr/>
      </xdr:nvGrpSpPr>
      <xdr:grpSpPr>
        <a:xfrm>
          <a:off x="3549650" y="825500"/>
          <a:ext cx="531400" cy="3689000"/>
          <a:chOff x="3390900" y="571500"/>
          <a:chExt cx="499650" cy="3816000"/>
        </a:xfrm>
      </xdr:grpSpPr>
      <xdr:cxnSp macro="">
        <xdr:nvCxnSpPr>
          <xdr:cNvPr id="8" name="10 Conector recto">
            <a:extLst>
              <a:ext uri="{FF2B5EF4-FFF2-40B4-BE49-F238E27FC236}">
                <a16:creationId xmlns:a16="http://schemas.microsoft.com/office/drawing/2014/main" id="{5A62154E-696E-B5A6-57D0-1130C25D98AF}"/>
              </a:ext>
            </a:extLst>
          </xdr:cNvPr>
          <xdr:cNvCxnSpPr/>
        </xdr:nvCxnSpPr>
        <xdr:spPr>
          <a:xfrm>
            <a:off x="3400425" y="2476501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11 Conector recto">
            <a:extLst>
              <a:ext uri="{FF2B5EF4-FFF2-40B4-BE49-F238E27FC236}">
                <a16:creationId xmlns:a16="http://schemas.microsoft.com/office/drawing/2014/main" id="{B6479F24-B499-115D-6EC9-3C82C0D138ED}"/>
              </a:ext>
            </a:extLst>
          </xdr:cNvPr>
          <xdr:cNvCxnSpPr/>
        </xdr:nvCxnSpPr>
        <xdr:spPr>
          <a:xfrm>
            <a:off x="3648075" y="571500"/>
            <a:ext cx="0" cy="381600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12 Conector recto">
            <a:extLst>
              <a:ext uri="{FF2B5EF4-FFF2-40B4-BE49-F238E27FC236}">
                <a16:creationId xmlns:a16="http://schemas.microsoft.com/office/drawing/2014/main" id="{E068C23E-BDC8-BA1E-72EB-DA6CB4258843}"/>
              </a:ext>
            </a:extLst>
          </xdr:cNvPr>
          <xdr:cNvCxnSpPr/>
        </xdr:nvCxnSpPr>
        <xdr:spPr>
          <a:xfrm>
            <a:off x="3400425" y="5715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13 Conector recto">
            <a:extLst>
              <a:ext uri="{FF2B5EF4-FFF2-40B4-BE49-F238E27FC236}">
                <a16:creationId xmlns:a16="http://schemas.microsoft.com/office/drawing/2014/main" id="{913665F0-2464-9C17-27F9-E9FE80003026}"/>
              </a:ext>
            </a:extLst>
          </xdr:cNvPr>
          <xdr:cNvCxnSpPr/>
        </xdr:nvCxnSpPr>
        <xdr:spPr>
          <a:xfrm>
            <a:off x="3400425" y="15240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14 Conector recto">
            <a:extLst>
              <a:ext uri="{FF2B5EF4-FFF2-40B4-BE49-F238E27FC236}">
                <a16:creationId xmlns:a16="http://schemas.microsoft.com/office/drawing/2014/main" id="{D8326C74-734A-1C56-D81D-D406E08F71C5}"/>
              </a:ext>
            </a:extLst>
          </xdr:cNvPr>
          <xdr:cNvCxnSpPr/>
        </xdr:nvCxnSpPr>
        <xdr:spPr>
          <a:xfrm>
            <a:off x="3390900" y="34290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15 Conector recto">
            <a:extLst>
              <a:ext uri="{FF2B5EF4-FFF2-40B4-BE49-F238E27FC236}">
                <a16:creationId xmlns:a16="http://schemas.microsoft.com/office/drawing/2014/main" id="{86984401-78DF-5369-3889-9114A8281623}"/>
              </a:ext>
            </a:extLst>
          </xdr:cNvPr>
          <xdr:cNvCxnSpPr/>
        </xdr:nvCxnSpPr>
        <xdr:spPr>
          <a:xfrm>
            <a:off x="3409950" y="43815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16 Conector recto">
            <a:extLst>
              <a:ext uri="{FF2B5EF4-FFF2-40B4-BE49-F238E27FC236}">
                <a16:creationId xmlns:a16="http://schemas.microsoft.com/office/drawing/2014/main" id="{A996B068-5D38-B3AD-BDD8-23A2DF782E11}"/>
              </a:ext>
            </a:extLst>
          </xdr:cNvPr>
          <xdr:cNvCxnSpPr/>
        </xdr:nvCxnSpPr>
        <xdr:spPr>
          <a:xfrm>
            <a:off x="3638550" y="19050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9525</xdr:colOff>
      <xdr:row>9</xdr:row>
      <xdr:rowOff>180975</xdr:rowOff>
    </xdr:from>
    <xdr:to>
      <xdr:col>10</xdr:col>
      <xdr:colOff>4350</xdr:colOff>
      <xdr:row>16</xdr:row>
      <xdr:rowOff>0</xdr:rowOff>
    </xdr:to>
    <xdr:grpSp>
      <xdr:nvGrpSpPr>
        <xdr:cNvPr id="15" name="35 Grupo">
          <a:extLst>
            <a:ext uri="{FF2B5EF4-FFF2-40B4-BE49-F238E27FC236}">
              <a16:creationId xmlns:a16="http://schemas.microsoft.com/office/drawing/2014/main" id="{67328EF8-A58C-48CC-A396-C65846AB2FF6}"/>
            </a:ext>
          </a:extLst>
        </xdr:cNvPr>
        <xdr:cNvGrpSpPr/>
      </xdr:nvGrpSpPr>
      <xdr:grpSpPr>
        <a:xfrm>
          <a:off x="5826125" y="2111375"/>
          <a:ext cx="502825" cy="1108075"/>
          <a:chOff x="5553075" y="1895475"/>
          <a:chExt cx="480600" cy="1152525"/>
        </a:xfrm>
      </xdr:grpSpPr>
      <xdr:cxnSp macro="">
        <xdr:nvCxnSpPr>
          <xdr:cNvPr id="16" name="17 Conector recto">
            <a:extLst>
              <a:ext uri="{FF2B5EF4-FFF2-40B4-BE49-F238E27FC236}">
                <a16:creationId xmlns:a16="http://schemas.microsoft.com/office/drawing/2014/main" id="{FDB37E8F-CD2E-978E-4295-E1DF66C93DC0}"/>
              </a:ext>
            </a:extLst>
          </xdr:cNvPr>
          <xdr:cNvCxnSpPr/>
        </xdr:nvCxnSpPr>
        <xdr:spPr>
          <a:xfrm>
            <a:off x="5553075" y="19050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18 Conector recto">
            <a:extLst>
              <a:ext uri="{FF2B5EF4-FFF2-40B4-BE49-F238E27FC236}">
                <a16:creationId xmlns:a16="http://schemas.microsoft.com/office/drawing/2014/main" id="{5966A055-899A-FD6E-5E62-B01E13A07E4D}"/>
              </a:ext>
            </a:extLst>
          </xdr:cNvPr>
          <xdr:cNvCxnSpPr/>
        </xdr:nvCxnSpPr>
        <xdr:spPr>
          <a:xfrm>
            <a:off x="5553075" y="30480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19 Conector recto">
            <a:extLst>
              <a:ext uri="{FF2B5EF4-FFF2-40B4-BE49-F238E27FC236}">
                <a16:creationId xmlns:a16="http://schemas.microsoft.com/office/drawing/2014/main" id="{CCC32C00-0CDF-5B63-C153-5F6787E34A99}"/>
              </a:ext>
            </a:extLst>
          </xdr:cNvPr>
          <xdr:cNvCxnSpPr/>
        </xdr:nvCxnSpPr>
        <xdr:spPr>
          <a:xfrm>
            <a:off x="5781675" y="24765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20 Conector recto">
            <a:extLst>
              <a:ext uri="{FF2B5EF4-FFF2-40B4-BE49-F238E27FC236}">
                <a16:creationId xmlns:a16="http://schemas.microsoft.com/office/drawing/2014/main" id="{7FF70A9A-044C-D78A-E474-CE5C03A1783E}"/>
              </a:ext>
            </a:extLst>
          </xdr:cNvPr>
          <xdr:cNvCxnSpPr/>
        </xdr:nvCxnSpPr>
        <xdr:spPr>
          <a:xfrm>
            <a:off x="5791200" y="1895475"/>
            <a:ext cx="0" cy="115200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0</xdr:colOff>
      <xdr:row>12</xdr:row>
      <xdr:rowOff>180975</xdr:rowOff>
    </xdr:from>
    <xdr:to>
      <xdr:col>14</xdr:col>
      <xdr:colOff>13875</xdr:colOff>
      <xdr:row>33</xdr:row>
      <xdr:rowOff>0</xdr:rowOff>
    </xdr:to>
    <xdr:grpSp>
      <xdr:nvGrpSpPr>
        <xdr:cNvPr id="20" name="36 Grupo">
          <a:extLst>
            <a:ext uri="{FF2B5EF4-FFF2-40B4-BE49-F238E27FC236}">
              <a16:creationId xmlns:a16="http://schemas.microsoft.com/office/drawing/2014/main" id="{24548CB1-FCD3-4F19-BDD7-67DF666932D5}"/>
            </a:ext>
          </a:extLst>
        </xdr:cNvPr>
        <xdr:cNvGrpSpPr/>
      </xdr:nvGrpSpPr>
      <xdr:grpSpPr>
        <a:xfrm>
          <a:off x="8083550" y="2663825"/>
          <a:ext cx="521875" cy="3686175"/>
          <a:chOff x="7705725" y="2466975"/>
          <a:chExt cx="499650" cy="3819525"/>
        </a:xfrm>
      </xdr:grpSpPr>
      <xdr:cxnSp macro="">
        <xdr:nvCxnSpPr>
          <xdr:cNvPr id="21" name="21 Conector recto">
            <a:extLst>
              <a:ext uri="{FF2B5EF4-FFF2-40B4-BE49-F238E27FC236}">
                <a16:creationId xmlns:a16="http://schemas.microsoft.com/office/drawing/2014/main" id="{62A3F595-4D7B-167B-FCEE-AF6F1432499A}"/>
              </a:ext>
            </a:extLst>
          </xdr:cNvPr>
          <xdr:cNvCxnSpPr/>
        </xdr:nvCxnSpPr>
        <xdr:spPr>
          <a:xfrm>
            <a:off x="7705725" y="24765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22 Conector recto">
            <a:extLst>
              <a:ext uri="{FF2B5EF4-FFF2-40B4-BE49-F238E27FC236}">
                <a16:creationId xmlns:a16="http://schemas.microsoft.com/office/drawing/2014/main" id="{AF34CC55-CF40-BBB3-D290-1648540F1941}"/>
              </a:ext>
            </a:extLst>
          </xdr:cNvPr>
          <xdr:cNvCxnSpPr/>
        </xdr:nvCxnSpPr>
        <xdr:spPr>
          <a:xfrm>
            <a:off x="7715250" y="62865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23 Conector recto">
            <a:extLst>
              <a:ext uri="{FF2B5EF4-FFF2-40B4-BE49-F238E27FC236}">
                <a16:creationId xmlns:a16="http://schemas.microsoft.com/office/drawing/2014/main" id="{C473CB8E-B23A-7809-2650-820CFA38B744}"/>
              </a:ext>
            </a:extLst>
          </xdr:cNvPr>
          <xdr:cNvCxnSpPr/>
        </xdr:nvCxnSpPr>
        <xdr:spPr>
          <a:xfrm>
            <a:off x="7953375" y="43815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24 Conector recto">
            <a:extLst>
              <a:ext uri="{FF2B5EF4-FFF2-40B4-BE49-F238E27FC236}">
                <a16:creationId xmlns:a16="http://schemas.microsoft.com/office/drawing/2014/main" id="{ADD0C7AA-16AA-CF06-BB5A-FC7234805947}"/>
              </a:ext>
            </a:extLst>
          </xdr:cNvPr>
          <xdr:cNvCxnSpPr/>
        </xdr:nvCxnSpPr>
        <xdr:spPr>
          <a:xfrm>
            <a:off x="7953375" y="2466975"/>
            <a:ext cx="0" cy="381600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34</xdr:row>
      <xdr:rowOff>0</xdr:rowOff>
    </xdr:from>
    <xdr:to>
      <xdr:col>5</xdr:col>
      <xdr:colOff>482625</xdr:colOff>
      <xdr:row>53</xdr:row>
      <xdr:rowOff>0</xdr:rowOff>
    </xdr:to>
    <xdr:grpSp>
      <xdr:nvGrpSpPr>
        <xdr:cNvPr id="25" name="63 Grupo">
          <a:extLst>
            <a:ext uri="{FF2B5EF4-FFF2-40B4-BE49-F238E27FC236}">
              <a16:creationId xmlns:a16="http://schemas.microsoft.com/office/drawing/2014/main" id="{CB227E98-5904-4074-A0A3-5718998CA93A}"/>
            </a:ext>
          </a:extLst>
        </xdr:cNvPr>
        <xdr:cNvGrpSpPr/>
      </xdr:nvGrpSpPr>
      <xdr:grpSpPr>
        <a:xfrm>
          <a:off x="1377950" y="6534150"/>
          <a:ext cx="2673375" cy="3498850"/>
          <a:chOff x="1314450" y="6477000"/>
          <a:chExt cx="2568600" cy="3619500"/>
        </a:xfrm>
      </xdr:grpSpPr>
      <xdr:cxnSp macro="">
        <xdr:nvCxnSpPr>
          <xdr:cNvPr id="26" name="25 Conector recto">
            <a:extLst>
              <a:ext uri="{FF2B5EF4-FFF2-40B4-BE49-F238E27FC236}">
                <a16:creationId xmlns:a16="http://schemas.microsoft.com/office/drawing/2014/main" id="{3C730291-2285-6A4A-D758-2B105A30E4C3}"/>
              </a:ext>
            </a:extLst>
          </xdr:cNvPr>
          <xdr:cNvCxnSpPr/>
        </xdr:nvCxnSpPr>
        <xdr:spPr>
          <a:xfrm>
            <a:off x="1543050" y="64770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26 Conector recto">
            <a:extLst>
              <a:ext uri="{FF2B5EF4-FFF2-40B4-BE49-F238E27FC236}">
                <a16:creationId xmlns:a16="http://schemas.microsoft.com/office/drawing/2014/main" id="{FE2F17A0-8C17-A23B-E352-E83B2C6A2AE8}"/>
              </a:ext>
            </a:extLst>
          </xdr:cNvPr>
          <xdr:cNvCxnSpPr/>
        </xdr:nvCxnSpPr>
        <xdr:spPr>
          <a:xfrm>
            <a:off x="1543050" y="10096500"/>
            <a:ext cx="2340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27 Conector recto">
            <a:extLst>
              <a:ext uri="{FF2B5EF4-FFF2-40B4-BE49-F238E27FC236}">
                <a16:creationId xmlns:a16="http://schemas.microsoft.com/office/drawing/2014/main" id="{2EB10378-25FE-72CC-9965-D9CCDA4A84EC}"/>
              </a:ext>
            </a:extLst>
          </xdr:cNvPr>
          <xdr:cNvCxnSpPr/>
        </xdr:nvCxnSpPr>
        <xdr:spPr>
          <a:xfrm>
            <a:off x="1552575" y="6477000"/>
            <a:ext cx="0" cy="360000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28 Conector recto">
            <a:extLst>
              <a:ext uri="{FF2B5EF4-FFF2-40B4-BE49-F238E27FC236}">
                <a16:creationId xmlns:a16="http://schemas.microsoft.com/office/drawing/2014/main" id="{AF7A2F19-3FDA-42BE-E87D-FD80CAA50B87}"/>
              </a:ext>
            </a:extLst>
          </xdr:cNvPr>
          <xdr:cNvCxnSpPr/>
        </xdr:nvCxnSpPr>
        <xdr:spPr>
          <a:xfrm>
            <a:off x="1314450" y="828675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33</xdr:row>
      <xdr:rowOff>180975</xdr:rowOff>
    </xdr:from>
    <xdr:to>
      <xdr:col>6</xdr:col>
      <xdr:colOff>4350</xdr:colOff>
      <xdr:row>39</xdr:row>
      <xdr:rowOff>9975</xdr:rowOff>
    </xdr:to>
    <xdr:grpSp>
      <xdr:nvGrpSpPr>
        <xdr:cNvPr id="30" name="62 Grupo">
          <a:extLst>
            <a:ext uri="{FF2B5EF4-FFF2-40B4-BE49-F238E27FC236}">
              <a16:creationId xmlns:a16="http://schemas.microsoft.com/office/drawing/2014/main" id="{B7594E64-ABB4-4FF4-BE78-47E5A5FB4A16}"/>
            </a:ext>
          </a:extLst>
        </xdr:cNvPr>
        <xdr:cNvGrpSpPr/>
      </xdr:nvGrpSpPr>
      <xdr:grpSpPr>
        <a:xfrm>
          <a:off x="3568700" y="6530975"/>
          <a:ext cx="512350" cy="933900"/>
          <a:chOff x="3400425" y="6467475"/>
          <a:chExt cx="490125" cy="972000"/>
        </a:xfrm>
      </xdr:grpSpPr>
      <xdr:cxnSp macro="">
        <xdr:nvCxnSpPr>
          <xdr:cNvPr id="31" name="29 Conector recto">
            <a:extLst>
              <a:ext uri="{FF2B5EF4-FFF2-40B4-BE49-F238E27FC236}">
                <a16:creationId xmlns:a16="http://schemas.microsoft.com/office/drawing/2014/main" id="{3592404A-FA8A-E398-299D-3716F451DF79}"/>
              </a:ext>
            </a:extLst>
          </xdr:cNvPr>
          <xdr:cNvCxnSpPr/>
        </xdr:nvCxnSpPr>
        <xdr:spPr>
          <a:xfrm>
            <a:off x="3400425" y="64770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30 Conector recto">
            <a:extLst>
              <a:ext uri="{FF2B5EF4-FFF2-40B4-BE49-F238E27FC236}">
                <a16:creationId xmlns:a16="http://schemas.microsoft.com/office/drawing/2014/main" id="{6BBADA5E-732F-04D9-D774-FA4DEBD51638}"/>
              </a:ext>
            </a:extLst>
          </xdr:cNvPr>
          <xdr:cNvCxnSpPr/>
        </xdr:nvCxnSpPr>
        <xdr:spPr>
          <a:xfrm>
            <a:off x="3400425" y="74295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31 Conector recto">
            <a:extLst>
              <a:ext uri="{FF2B5EF4-FFF2-40B4-BE49-F238E27FC236}">
                <a16:creationId xmlns:a16="http://schemas.microsoft.com/office/drawing/2014/main" id="{F83EA91C-7FD4-62C6-DC62-4012FC8BC4C1}"/>
              </a:ext>
            </a:extLst>
          </xdr:cNvPr>
          <xdr:cNvCxnSpPr/>
        </xdr:nvCxnSpPr>
        <xdr:spPr>
          <a:xfrm>
            <a:off x="3638550" y="68580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32 Conector recto">
            <a:extLst>
              <a:ext uri="{FF2B5EF4-FFF2-40B4-BE49-F238E27FC236}">
                <a16:creationId xmlns:a16="http://schemas.microsoft.com/office/drawing/2014/main" id="{14441F70-F4E6-195F-9523-9D20B1C2621D}"/>
              </a:ext>
            </a:extLst>
          </xdr:cNvPr>
          <xdr:cNvCxnSpPr/>
        </xdr:nvCxnSpPr>
        <xdr:spPr>
          <a:xfrm>
            <a:off x="3648075" y="6467475"/>
            <a:ext cx="0" cy="97200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9525</xdr:colOff>
      <xdr:row>29</xdr:row>
      <xdr:rowOff>180975</xdr:rowOff>
    </xdr:from>
    <xdr:to>
      <xdr:col>10</xdr:col>
      <xdr:colOff>4350</xdr:colOff>
      <xdr:row>36</xdr:row>
      <xdr:rowOff>0</xdr:rowOff>
    </xdr:to>
    <xdr:grpSp>
      <xdr:nvGrpSpPr>
        <xdr:cNvPr id="35" name="37 Grupo">
          <a:extLst>
            <a:ext uri="{FF2B5EF4-FFF2-40B4-BE49-F238E27FC236}">
              <a16:creationId xmlns:a16="http://schemas.microsoft.com/office/drawing/2014/main" id="{7DCE604A-E54A-4961-89FD-19B6ED8C27D5}"/>
            </a:ext>
          </a:extLst>
        </xdr:cNvPr>
        <xdr:cNvGrpSpPr/>
      </xdr:nvGrpSpPr>
      <xdr:grpSpPr>
        <a:xfrm>
          <a:off x="5826125" y="5794375"/>
          <a:ext cx="502825" cy="1108075"/>
          <a:chOff x="5553075" y="1895475"/>
          <a:chExt cx="480600" cy="1152525"/>
        </a:xfrm>
      </xdr:grpSpPr>
      <xdr:cxnSp macro="">
        <xdr:nvCxnSpPr>
          <xdr:cNvPr id="36" name="38 Conector recto">
            <a:extLst>
              <a:ext uri="{FF2B5EF4-FFF2-40B4-BE49-F238E27FC236}">
                <a16:creationId xmlns:a16="http://schemas.microsoft.com/office/drawing/2014/main" id="{D82998DE-0ECE-165F-FA82-09E3CCB348B3}"/>
              </a:ext>
            </a:extLst>
          </xdr:cNvPr>
          <xdr:cNvCxnSpPr/>
        </xdr:nvCxnSpPr>
        <xdr:spPr>
          <a:xfrm>
            <a:off x="5553075" y="19050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39 Conector recto">
            <a:extLst>
              <a:ext uri="{FF2B5EF4-FFF2-40B4-BE49-F238E27FC236}">
                <a16:creationId xmlns:a16="http://schemas.microsoft.com/office/drawing/2014/main" id="{11966C66-599B-1774-52F3-6DC37AD657CF}"/>
              </a:ext>
            </a:extLst>
          </xdr:cNvPr>
          <xdr:cNvCxnSpPr/>
        </xdr:nvCxnSpPr>
        <xdr:spPr>
          <a:xfrm>
            <a:off x="5553075" y="30480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40 Conector recto">
            <a:extLst>
              <a:ext uri="{FF2B5EF4-FFF2-40B4-BE49-F238E27FC236}">
                <a16:creationId xmlns:a16="http://schemas.microsoft.com/office/drawing/2014/main" id="{DBF066FA-178E-7BF2-77D7-08AF169E03EB}"/>
              </a:ext>
            </a:extLst>
          </xdr:cNvPr>
          <xdr:cNvCxnSpPr/>
        </xdr:nvCxnSpPr>
        <xdr:spPr>
          <a:xfrm>
            <a:off x="5781675" y="24765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41 Conector recto">
            <a:extLst>
              <a:ext uri="{FF2B5EF4-FFF2-40B4-BE49-F238E27FC236}">
                <a16:creationId xmlns:a16="http://schemas.microsoft.com/office/drawing/2014/main" id="{1BC84153-06D3-CBA0-E56F-59D093313A25}"/>
              </a:ext>
            </a:extLst>
          </xdr:cNvPr>
          <xdr:cNvCxnSpPr/>
        </xdr:nvCxnSpPr>
        <xdr:spPr>
          <a:xfrm>
            <a:off x="5791200" y="1895475"/>
            <a:ext cx="0" cy="115200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43</xdr:row>
      <xdr:rowOff>180975</xdr:rowOff>
    </xdr:from>
    <xdr:to>
      <xdr:col>5</xdr:col>
      <xdr:colOff>480600</xdr:colOff>
      <xdr:row>50</xdr:row>
      <xdr:rowOff>0</xdr:rowOff>
    </xdr:to>
    <xdr:grpSp>
      <xdr:nvGrpSpPr>
        <xdr:cNvPr id="40" name="42 Grupo">
          <a:extLst>
            <a:ext uri="{FF2B5EF4-FFF2-40B4-BE49-F238E27FC236}">
              <a16:creationId xmlns:a16="http://schemas.microsoft.com/office/drawing/2014/main" id="{587481E2-A04A-49B2-B7DE-3A17B20E3BD0}"/>
            </a:ext>
          </a:extLst>
        </xdr:cNvPr>
        <xdr:cNvGrpSpPr/>
      </xdr:nvGrpSpPr>
      <xdr:grpSpPr>
        <a:xfrm>
          <a:off x="3568700" y="8372475"/>
          <a:ext cx="480600" cy="1108075"/>
          <a:chOff x="5553075" y="1895475"/>
          <a:chExt cx="480600" cy="1152525"/>
        </a:xfrm>
      </xdr:grpSpPr>
      <xdr:cxnSp macro="">
        <xdr:nvCxnSpPr>
          <xdr:cNvPr id="41" name="43 Conector recto">
            <a:extLst>
              <a:ext uri="{FF2B5EF4-FFF2-40B4-BE49-F238E27FC236}">
                <a16:creationId xmlns:a16="http://schemas.microsoft.com/office/drawing/2014/main" id="{D84E7634-8DB0-BFCC-70C9-48DD4E3BFF43}"/>
              </a:ext>
            </a:extLst>
          </xdr:cNvPr>
          <xdr:cNvCxnSpPr/>
        </xdr:nvCxnSpPr>
        <xdr:spPr>
          <a:xfrm>
            <a:off x="5553075" y="19050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44 Conector recto">
            <a:extLst>
              <a:ext uri="{FF2B5EF4-FFF2-40B4-BE49-F238E27FC236}">
                <a16:creationId xmlns:a16="http://schemas.microsoft.com/office/drawing/2014/main" id="{8A2E2BAC-D505-D812-2143-3E64B9A7AFBA}"/>
              </a:ext>
            </a:extLst>
          </xdr:cNvPr>
          <xdr:cNvCxnSpPr/>
        </xdr:nvCxnSpPr>
        <xdr:spPr>
          <a:xfrm>
            <a:off x="5553075" y="30480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45 Conector recto">
            <a:extLst>
              <a:ext uri="{FF2B5EF4-FFF2-40B4-BE49-F238E27FC236}">
                <a16:creationId xmlns:a16="http://schemas.microsoft.com/office/drawing/2014/main" id="{0ACB4B89-3996-2E9A-2391-DF1A8E3DAD40}"/>
              </a:ext>
            </a:extLst>
          </xdr:cNvPr>
          <xdr:cNvCxnSpPr/>
        </xdr:nvCxnSpPr>
        <xdr:spPr>
          <a:xfrm>
            <a:off x="5781675" y="24765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46 Conector recto">
            <a:extLst>
              <a:ext uri="{FF2B5EF4-FFF2-40B4-BE49-F238E27FC236}">
                <a16:creationId xmlns:a16="http://schemas.microsoft.com/office/drawing/2014/main" id="{C34E33DC-F531-0337-4B25-E82D68CA7D91}"/>
              </a:ext>
            </a:extLst>
          </xdr:cNvPr>
          <xdr:cNvCxnSpPr/>
        </xdr:nvCxnSpPr>
        <xdr:spPr>
          <a:xfrm>
            <a:off x="5791200" y="1895475"/>
            <a:ext cx="0" cy="115200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9525</xdr:colOff>
      <xdr:row>46</xdr:row>
      <xdr:rowOff>180975</xdr:rowOff>
    </xdr:from>
    <xdr:to>
      <xdr:col>10</xdr:col>
      <xdr:colOff>4350</xdr:colOff>
      <xdr:row>53</xdr:row>
      <xdr:rowOff>0</xdr:rowOff>
    </xdr:to>
    <xdr:grpSp>
      <xdr:nvGrpSpPr>
        <xdr:cNvPr id="45" name="47 Grupo">
          <a:extLst>
            <a:ext uri="{FF2B5EF4-FFF2-40B4-BE49-F238E27FC236}">
              <a16:creationId xmlns:a16="http://schemas.microsoft.com/office/drawing/2014/main" id="{133EA000-8E40-4EF9-B0BC-DE4935A89FCD}"/>
            </a:ext>
          </a:extLst>
        </xdr:cNvPr>
        <xdr:cNvGrpSpPr/>
      </xdr:nvGrpSpPr>
      <xdr:grpSpPr>
        <a:xfrm>
          <a:off x="5826125" y="8924925"/>
          <a:ext cx="502825" cy="1108075"/>
          <a:chOff x="5553075" y="1895475"/>
          <a:chExt cx="480600" cy="1152525"/>
        </a:xfrm>
      </xdr:grpSpPr>
      <xdr:cxnSp macro="">
        <xdr:nvCxnSpPr>
          <xdr:cNvPr id="46" name="48 Conector recto">
            <a:extLst>
              <a:ext uri="{FF2B5EF4-FFF2-40B4-BE49-F238E27FC236}">
                <a16:creationId xmlns:a16="http://schemas.microsoft.com/office/drawing/2014/main" id="{17EDD3EB-5C9F-8D14-4A30-EBB461A26B06}"/>
              </a:ext>
            </a:extLst>
          </xdr:cNvPr>
          <xdr:cNvCxnSpPr/>
        </xdr:nvCxnSpPr>
        <xdr:spPr>
          <a:xfrm>
            <a:off x="5553075" y="19050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49 Conector recto">
            <a:extLst>
              <a:ext uri="{FF2B5EF4-FFF2-40B4-BE49-F238E27FC236}">
                <a16:creationId xmlns:a16="http://schemas.microsoft.com/office/drawing/2014/main" id="{D48FB0DD-5B51-9A6C-0C3D-788E4DED809E}"/>
              </a:ext>
            </a:extLst>
          </xdr:cNvPr>
          <xdr:cNvCxnSpPr/>
        </xdr:nvCxnSpPr>
        <xdr:spPr>
          <a:xfrm>
            <a:off x="5553075" y="30480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50 Conector recto">
            <a:extLst>
              <a:ext uri="{FF2B5EF4-FFF2-40B4-BE49-F238E27FC236}">
                <a16:creationId xmlns:a16="http://schemas.microsoft.com/office/drawing/2014/main" id="{36F302EC-6B71-7602-3083-686FC2F76256}"/>
              </a:ext>
            </a:extLst>
          </xdr:cNvPr>
          <xdr:cNvCxnSpPr/>
        </xdr:nvCxnSpPr>
        <xdr:spPr>
          <a:xfrm>
            <a:off x="5781675" y="24765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51 Conector recto">
            <a:extLst>
              <a:ext uri="{FF2B5EF4-FFF2-40B4-BE49-F238E27FC236}">
                <a16:creationId xmlns:a16="http://schemas.microsoft.com/office/drawing/2014/main" id="{2411A408-8B9B-0285-F0B0-F5B946E68F4B}"/>
              </a:ext>
            </a:extLst>
          </xdr:cNvPr>
          <xdr:cNvCxnSpPr/>
        </xdr:nvCxnSpPr>
        <xdr:spPr>
          <a:xfrm>
            <a:off x="5791200" y="1895475"/>
            <a:ext cx="0" cy="115200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0</xdr:colOff>
      <xdr:row>49</xdr:row>
      <xdr:rowOff>171450</xdr:rowOff>
    </xdr:from>
    <xdr:to>
      <xdr:col>13</xdr:col>
      <xdr:colOff>480600</xdr:colOff>
      <xdr:row>55</xdr:row>
      <xdr:rowOff>180975</xdr:rowOff>
    </xdr:to>
    <xdr:grpSp>
      <xdr:nvGrpSpPr>
        <xdr:cNvPr id="50" name="52 Grupo">
          <a:extLst>
            <a:ext uri="{FF2B5EF4-FFF2-40B4-BE49-F238E27FC236}">
              <a16:creationId xmlns:a16="http://schemas.microsoft.com/office/drawing/2014/main" id="{F32B523B-FFD2-4070-92F1-C34BD6CCCE18}"/>
            </a:ext>
          </a:extLst>
        </xdr:cNvPr>
        <xdr:cNvGrpSpPr/>
      </xdr:nvGrpSpPr>
      <xdr:grpSpPr>
        <a:xfrm>
          <a:off x="8083550" y="9467850"/>
          <a:ext cx="480600" cy="1114425"/>
          <a:chOff x="5553075" y="1895475"/>
          <a:chExt cx="480600" cy="1152525"/>
        </a:xfrm>
      </xdr:grpSpPr>
      <xdr:cxnSp macro="">
        <xdr:nvCxnSpPr>
          <xdr:cNvPr id="51" name="53 Conector recto">
            <a:extLst>
              <a:ext uri="{FF2B5EF4-FFF2-40B4-BE49-F238E27FC236}">
                <a16:creationId xmlns:a16="http://schemas.microsoft.com/office/drawing/2014/main" id="{D146AD82-3E28-9D05-486D-6C8C9CA2554C}"/>
              </a:ext>
            </a:extLst>
          </xdr:cNvPr>
          <xdr:cNvCxnSpPr/>
        </xdr:nvCxnSpPr>
        <xdr:spPr>
          <a:xfrm>
            <a:off x="5553075" y="19050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54 Conector recto">
            <a:extLst>
              <a:ext uri="{FF2B5EF4-FFF2-40B4-BE49-F238E27FC236}">
                <a16:creationId xmlns:a16="http://schemas.microsoft.com/office/drawing/2014/main" id="{4E0C0579-4C49-7E27-A856-2F862644DFC8}"/>
              </a:ext>
            </a:extLst>
          </xdr:cNvPr>
          <xdr:cNvCxnSpPr/>
        </xdr:nvCxnSpPr>
        <xdr:spPr>
          <a:xfrm>
            <a:off x="5553075" y="30480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55 Conector recto">
            <a:extLst>
              <a:ext uri="{FF2B5EF4-FFF2-40B4-BE49-F238E27FC236}">
                <a16:creationId xmlns:a16="http://schemas.microsoft.com/office/drawing/2014/main" id="{65FD24A2-3A09-F948-33B1-2310F94BEF64}"/>
              </a:ext>
            </a:extLst>
          </xdr:cNvPr>
          <xdr:cNvCxnSpPr/>
        </xdr:nvCxnSpPr>
        <xdr:spPr>
          <a:xfrm>
            <a:off x="5781675" y="24765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56 Conector recto">
            <a:extLst>
              <a:ext uri="{FF2B5EF4-FFF2-40B4-BE49-F238E27FC236}">
                <a16:creationId xmlns:a16="http://schemas.microsoft.com/office/drawing/2014/main" id="{5DBDCE2C-61D0-E425-1CF0-F95D0A764293}"/>
              </a:ext>
            </a:extLst>
          </xdr:cNvPr>
          <xdr:cNvCxnSpPr/>
        </xdr:nvCxnSpPr>
        <xdr:spPr>
          <a:xfrm>
            <a:off x="5791200" y="1895475"/>
            <a:ext cx="0" cy="115200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9525</xdr:colOff>
      <xdr:row>22</xdr:row>
      <xdr:rowOff>180975</xdr:rowOff>
    </xdr:from>
    <xdr:to>
      <xdr:col>18</xdr:col>
      <xdr:colOff>4350</xdr:colOff>
      <xdr:row>53</xdr:row>
      <xdr:rowOff>0</xdr:rowOff>
    </xdr:to>
    <xdr:grpSp>
      <xdr:nvGrpSpPr>
        <xdr:cNvPr id="55" name="61 Grupo">
          <a:extLst>
            <a:ext uri="{FF2B5EF4-FFF2-40B4-BE49-F238E27FC236}">
              <a16:creationId xmlns:a16="http://schemas.microsoft.com/office/drawing/2014/main" id="{DB291D87-9982-4DCE-B292-E84E9B877A08}"/>
            </a:ext>
          </a:extLst>
        </xdr:cNvPr>
        <xdr:cNvGrpSpPr/>
      </xdr:nvGrpSpPr>
      <xdr:grpSpPr>
        <a:xfrm>
          <a:off x="10360025" y="4505325"/>
          <a:ext cx="502825" cy="5527675"/>
          <a:chOff x="9877425" y="4371975"/>
          <a:chExt cx="480600" cy="5724525"/>
        </a:xfrm>
      </xdr:grpSpPr>
      <xdr:cxnSp macro="">
        <xdr:nvCxnSpPr>
          <xdr:cNvPr id="56" name="57 Conector recto">
            <a:extLst>
              <a:ext uri="{FF2B5EF4-FFF2-40B4-BE49-F238E27FC236}">
                <a16:creationId xmlns:a16="http://schemas.microsoft.com/office/drawing/2014/main" id="{64018876-BCB0-27C3-FF81-F95F7315D6E7}"/>
              </a:ext>
            </a:extLst>
          </xdr:cNvPr>
          <xdr:cNvCxnSpPr/>
        </xdr:nvCxnSpPr>
        <xdr:spPr>
          <a:xfrm>
            <a:off x="10106025" y="72390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58 Conector recto">
            <a:extLst>
              <a:ext uri="{FF2B5EF4-FFF2-40B4-BE49-F238E27FC236}">
                <a16:creationId xmlns:a16="http://schemas.microsoft.com/office/drawing/2014/main" id="{A909ADC3-A9DB-C0F2-E6E6-63B8B70EF603}"/>
              </a:ext>
            </a:extLst>
          </xdr:cNvPr>
          <xdr:cNvCxnSpPr/>
        </xdr:nvCxnSpPr>
        <xdr:spPr>
          <a:xfrm>
            <a:off x="9877425" y="100965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59 Conector recto">
            <a:extLst>
              <a:ext uri="{FF2B5EF4-FFF2-40B4-BE49-F238E27FC236}">
                <a16:creationId xmlns:a16="http://schemas.microsoft.com/office/drawing/2014/main" id="{E4833116-0AEC-C8E9-3BE5-E4D7361204AB}"/>
              </a:ext>
            </a:extLst>
          </xdr:cNvPr>
          <xdr:cNvCxnSpPr/>
        </xdr:nvCxnSpPr>
        <xdr:spPr>
          <a:xfrm>
            <a:off x="9877425" y="4381500"/>
            <a:ext cx="25200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60 Conector recto">
            <a:extLst>
              <a:ext uri="{FF2B5EF4-FFF2-40B4-BE49-F238E27FC236}">
                <a16:creationId xmlns:a16="http://schemas.microsoft.com/office/drawing/2014/main" id="{13E4EBA9-A8A2-92BA-86A0-B35C489FF1F3}"/>
              </a:ext>
            </a:extLst>
          </xdr:cNvPr>
          <xdr:cNvCxnSpPr/>
        </xdr:nvCxnSpPr>
        <xdr:spPr>
          <a:xfrm>
            <a:off x="10115550" y="4371975"/>
            <a:ext cx="0" cy="572400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1016000</xdr:colOff>
      <xdr:row>3</xdr:row>
      <xdr:rowOff>47655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84ED6-0988-4A3C-80B4-09317106F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16000" cy="534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1016000</xdr:colOff>
      <xdr:row>3</xdr:row>
      <xdr:rowOff>28605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CDFE9F-35EB-4923-8650-0E83E8B0C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16000" cy="523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1016000</xdr:colOff>
      <xdr:row>3</xdr:row>
      <xdr:rowOff>28605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A930C0-0AE5-4BEF-B914-6955BAEE0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16000" cy="504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2</xdr:row>
      <xdr:rowOff>0</xdr:rowOff>
    </xdr:from>
    <xdr:to>
      <xdr:col>1</xdr:col>
      <xdr:colOff>256309</xdr:colOff>
      <xdr:row>3</xdr:row>
      <xdr:rowOff>15009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4A4F5195-09F0-844D-B8D1-87C77757B6D0}"/>
            </a:ext>
          </a:extLst>
        </xdr:cNvPr>
        <xdr:cNvGrpSpPr/>
      </xdr:nvGrpSpPr>
      <xdr:grpSpPr>
        <a:xfrm>
          <a:off x="787400" y="546100"/>
          <a:ext cx="230909" cy="218209"/>
          <a:chOff x="5092700" y="1168400"/>
          <a:chExt cx="230909" cy="230909"/>
        </a:xfrm>
      </xdr:grpSpPr>
      <xdr:sp macro="" textlink="">
        <xdr:nvSpPr>
          <xdr:cNvPr id="3" name="Oval 1">
            <a:extLst>
              <a:ext uri="{FF2B5EF4-FFF2-40B4-BE49-F238E27FC236}">
                <a16:creationId xmlns:a16="http://schemas.microsoft.com/office/drawing/2014/main" id="{D8120B0B-473C-F42C-203E-6EC606D29612}"/>
              </a:ext>
            </a:extLst>
          </xdr:cNvPr>
          <xdr:cNvSpPr/>
        </xdr:nvSpPr>
        <xdr:spPr>
          <a:xfrm>
            <a:off x="5115791" y="1191491"/>
            <a:ext cx="207818" cy="207818"/>
          </a:xfrm>
          <a:prstGeom prst="ellipse">
            <a:avLst/>
          </a:prstGeom>
          <a:solidFill>
            <a:schemeClr val="bg1">
              <a:lumMod val="5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TextBox 2">
            <a:extLst>
              <a:ext uri="{FF2B5EF4-FFF2-40B4-BE49-F238E27FC236}">
                <a16:creationId xmlns:a16="http://schemas.microsoft.com/office/drawing/2014/main" id="{DFD54784-0661-F1B8-DE56-64AC59AD69BB}"/>
              </a:ext>
            </a:extLst>
          </xdr:cNvPr>
          <xdr:cNvSpPr txBox="1"/>
        </xdr:nvSpPr>
        <xdr:spPr>
          <a:xfrm>
            <a:off x="5092700" y="1168400"/>
            <a:ext cx="22860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bg1"/>
                </a:solidFill>
              </a:rPr>
              <a:t>A</a:t>
            </a:r>
          </a:p>
        </xdr:txBody>
      </xdr:sp>
    </xdr:grpSp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256309</xdr:colOff>
      <xdr:row>4</xdr:row>
      <xdr:rowOff>15009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D1EACE3B-3BC3-C94C-B92B-3F814F51D111}"/>
            </a:ext>
          </a:extLst>
        </xdr:cNvPr>
        <xdr:cNvGrpSpPr/>
      </xdr:nvGrpSpPr>
      <xdr:grpSpPr>
        <a:xfrm>
          <a:off x="787400" y="749300"/>
          <a:ext cx="230909" cy="218209"/>
          <a:chOff x="5092700" y="1168400"/>
          <a:chExt cx="230909" cy="230909"/>
        </a:xfrm>
      </xdr:grpSpPr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CB850178-C85E-3E5F-CDE4-044B4050FE1B}"/>
              </a:ext>
            </a:extLst>
          </xdr:cNvPr>
          <xdr:cNvSpPr/>
        </xdr:nvSpPr>
        <xdr:spPr>
          <a:xfrm>
            <a:off x="5115791" y="1191491"/>
            <a:ext cx="207818" cy="207818"/>
          </a:xfrm>
          <a:prstGeom prst="ellipse">
            <a:avLst/>
          </a:prstGeom>
          <a:solidFill>
            <a:schemeClr val="bg1">
              <a:lumMod val="5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1A96666F-C6CF-F8AD-A28B-DA9EFEB8725E}"/>
              </a:ext>
            </a:extLst>
          </xdr:cNvPr>
          <xdr:cNvSpPr txBox="1"/>
        </xdr:nvSpPr>
        <xdr:spPr>
          <a:xfrm>
            <a:off x="5092700" y="1168400"/>
            <a:ext cx="22860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bg1"/>
                </a:solidFill>
              </a:rPr>
              <a:t>B</a:t>
            </a:r>
          </a:p>
        </xdr:txBody>
      </xdr:sp>
    </xdr:grpSp>
    <xdr:clientData/>
  </xdr:twoCellAnchor>
  <xdr:twoCellAnchor>
    <xdr:from>
      <xdr:col>1</xdr:col>
      <xdr:colOff>25400</xdr:colOff>
      <xdr:row>4</xdr:row>
      <xdr:rowOff>0</xdr:rowOff>
    </xdr:from>
    <xdr:to>
      <xdr:col>1</xdr:col>
      <xdr:colOff>256309</xdr:colOff>
      <xdr:row>5</xdr:row>
      <xdr:rowOff>15009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DE97482B-5541-F84E-A73B-7FE673A355E6}"/>
            </a:ext>
          </a:extLst>
        </xdr:cNvPr>
        <xdr:cNvGrpSpPr/>
      </xdr:nvGrpSpPr>
      <xdr:grpSpPr>
        <a:xfrm>
          <a:off x="787400" y="952500"/>
          <a:ext cx="230909" cy="218209"/>
          <a:chOff x="5092700" y="1168400"/>
          <a:chExt cx="230909" cy="230909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0DB57802-1E08-AA28-6347-AACC5620C3D4}"/>
              </a:ext>
            </a:extLst>
          </xdr:cNvPr>
          <xdr:cNvSpPr/>
        </xdr:nvSpPr>
        <xdr:spPr>
          <a:xfrm>
            <a:off x="5115791" y="1191491"/>
            <a:ext cx="207818" cy="207818"/>
          </a:xfrm>
          <a:prstGeom prst="ellipse">
            <a:avLst/>
          </a:prstGeom>
          <a:solidFill>
            <a:schemeClr val="bg1">
              <a:lumMod val="5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6C979D03-53E3-DD58-A0A7-426E151D1097}"/>
              </a:ext>
            </a:extLst>
          </xdr:cNvPr>
          <xdr:cNvSpPr txBox="1"/>
        </xdr:nvSpPr>
        <xdr:spPr>
          <a:xfrm>
            <a:off x="5092700" y="1168400"/>
            <a:ext cx="22860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bg1"/>
                </a:solidFill>
              </a:rPr>
              <a:t>C</a:t>
            </a:r>
          </a:p>
        </xdr:txBody>
      </xdr:sp>
    </xdr:grpSp>
    <xdr:clientData/>
  </xdr:twoCellAnchor>
  <xdr:twoCellAnchor>
    <xdr:from>
      <xdr:col>1</xdr:col>
      <xdr:colOff>25400</xdr:colOff>
      <xdr:row>5</xdr:row>
      <xdr:rowOff>0</xdr:rowOff>
    </xdr:from>
    <xdr:to>
      <xdr:col>1</xdr:col>
      <xdr:colOff>256309</xdr:colOff>
      <xdr:row>6</xdr:row>
      <xdr:rowOff>15009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FF304B6-7E99-7F4E-8213-D441AFC0B0C2}"/>
            </a:ext>
          </a:extLst>
        </xdr:cNvPr>
        <xdr:cNvGrpSpPr/>
      </xdr:nvGrpSpPr>
      <xdr:grpSpPr>
        <a:xfrm>
          <a:off x="787400" y="1155700"/>
          <a:ext cx="230909" cy="218209"/>
          <a:chOff x="5092700" y="1168400"/>
          <a:chExt cx="230909" cy="230909"/>
        </a:xfrm>
      </xdr:grpSpPr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5EE7312A-4279-D421-3088-D7F2EA92707F}"/>
              </a:ext>
            </a:extLst>
          </xdr:cNvPr>
          <xdr:cNvSpPr/>
        </xdr:nvSpPr>
        <xdr:spPr>
          <a:xfrm>
            <a:off x="5115791" y="1191491"/>
            <a:ext cx="207818" cy="207818"/>
          </a:xfrm>
          <a:prstGeom prst="ellipse">
            <a:avLst/>
          </a:prstGeom>
          <a:solidFill>
            <a:schemeClr val="bg1">
              <a:lumMod val="5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B57CF9A-6EDA-107B-BD0E-4367C43BD982}"/>
              </a:ext>
            </a:extLst>
          </xdr:cNvPr>
          <xdr:cNvSpPr txBox="1"/>
        </xdr:nvSpPr>
        <xdr:spPr>
          <a:xfrm>
            <a:off x="5092700" y="1168400"/>
            <a:ext cx="22860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bg1"/>
                </a:solidFill>
              </a:rPr>
              <a:t>D</a:t>
            </a:r>
          </a:p>
        </xdr:txBody>
      </xdr:sp>
    </xdr:grpSp>
    <xdr:clientData/>
  </xdr:twoCellAnchor>
  <xdr:twoCellAnchor>
    <xdr:from>
      <xdr:col>1</xdr:col>
      <xdr:colOff>25400</xdr:colOff>
      <xdr:row>6</xdr:row>
      <xdr:rowOff>0</xdr:rowOff>
    </xdr:from>
    <xdr:to>
      <xdr:col>1</xdr:col>
      <xdr:colOff>256309</xdr:colOff>
      <xdr:row>7</xdr:row>
      <xdr:rowOff>15009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51A5146E-BA23-5B4D-9B30-CB0F15B84C6B}"/>
            </a:ext>
          </a:extLst>
        </xdr:cNvPr>
        <xdr:cNvGrpSpPr/>
      </xdr:nvGrpSpPr>
      <xdr:grpSpPr>
        <a:xfrm>
          <a:off x="787400" y="1358900"/>
          <a:ext cx="230909" cy="218209"/>
          <a:chOff x="5092700" y="1168400"/>
          <a:chExt cx="230909" cy="230909"/>
        </a:xfrm>
      </xdr:grpSpPr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9148C7C1-6D58-857A-D63E-8561F1B21D30}"/>
              </a:ext>
            </a:extLst>
          </xdr:cNvPr>
          <xdr:cNvSpPr/>
        </xdr:nvSpPr>
        <xdr:spPr>
          <a:xfrm>
            <a:off x="5115791" y="1191491"/>
            <a:ext cx="207818" cy="207818"/>
          </a:xfrm>
          <a:prstGeom prst="ellipse">
            <a:avLst/>
          </a:prstGeom>
          <a:solidFill>
            <a:schemeClr val="bg1">
              <a:lumMod val="5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B1E131B-44F1-896E-8647-B3FA68A323C2}"/>
              </a:ext>
            </a:extLst>
          </xdr:cNvPr>
          <xdr:cNvSpPr txBox="1"/>
        </xdr:nvSpPr>
        <xdr:spPr>
          <a:xfrm>
            <a:off x="5092700" y="1168400"/>
            <a:ext cx="22860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bg1"/>
                </a:solidFill>
              </a:rPr>
              <a:t>E</a:t>
            </a:r>
          </a:p>
          <a:p>
            <a:endParaRPr lang="en-US" sz="1100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198782</xdr:colOff>
      <xdr:row>3</xdr:row>
      <xdr:rowOff>119270</xdr:rowOff>
    </xdr:from>
    <xdr:to>
      <xdr:col>13</xdr:col>
      <xdr:colOff>629477</xdr:colOff>
      <xdr:row>16</xdr:row>
      <xdr:rowOff>167862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2B015361-EB38-7B42-9592-FA58BE0D7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299A-4803-4142-8511-A84FE78EBFF9}">
  <sheetPr codeName="Hoja3"/>
  <dimension ref="A1:V59"/>
  <sheetViews>
    <sheetView showGridLines="0" topLeftCell="A13" workbookViewId="0">
      <selection activeCell="H19" sqref="H19"/>
    </sheetView>
  </sheetViews>
  <sheetFormatPr baseColWidth="10" defaultColWidth="0" defaultRowHeight="14.5" customHeight="1" zeroHeight="1"/>
  <cols>
    <col min="1" max="1" width="19.7265625" customWidth="1"/>
    <col min="2" max="2" width="7.26953125" customWidth="1"/>
    <col min="3" max="3" width="2.453125" customWidth="1"/>
    <col min="4" max="4" width="19.1796875" bestFit="1" customWidth="1"/>
    <col min="5" max="5" width="2.453125" customWidth="1"/>
    <col min="6" max="6" width="7.26953125" customWidth="1"/>
    <col min="7" max="7" width="2.453125" customWidth="1"/>
    <col min="8" max="8" width="20" bestFit="1" customWidth="1"/>
    <col min="9" max="9" width="2.453125" customWidth="1"/>
    <col min="10" max="10" width="7.26953125" customWidth="1"/>
    <col min="11" max="11" width="2.453125" customWidth="1"/>
    <col min="12" max="12" width="20.26953125" customWidth="1"/>
    <col min="13" max="13" width="2.453125" customWidth="1"/>
    <col min="14" max="14" width="7.26953125" customWidth="1"/>
    <col min="15" max="15" width="2.453125" customWidth="1"/>
    <col min="16" max="16" width="20.26953125" customWidth="1"/>
    <col min="17" max="17" width="2.453125" customWidth="1"/>
    <col min="18" max="18" width="7.26953125" customWidth="1"/>
    <col min="19" max="19" width="2.453125" customWidth="1"/>
    <col min="20" max="20" width="19.453125" customWidth="1"/>
    <col min="21" max="21" width="2.453125" customWidth="1"/>
    <col min="22" max="22" width="3.453125" customWidth="1"/>
    <col min="23" max="16384" width="11.453125" hidden="1"/>
  </cols>
  <sheetData>
    <row r="1" spans="1:21" ht="36">
      <c r="A1" s="126" t="s">
        <v>208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</row>
    <row r="2" spans="1:21">
      <c r="C2" s="127"/>
      <c r="D2" s="128"/>
      <c r="E2" s="129"/>
    </row>
    <row r="3" spans="1:21">
      <c r="C3" s="130"/>
      <c r="D3" s="131" t="s">
        <v>209</v>
      </c>
      <c r="E3" s="132"/>
    </row>
    <row r="4" spans="1:21">
      <c r="C4" s="130"/>
      <c r="D4" s="133">
        <f>+ER!D10</f>
        <v>0</v>
      </c>
      <c r="E4" s="132"/>
    </row>
    <row r="5" spans="1:21">
      <c r="C5" s="134"/>
      <c r="D5" s="135"/>
      <c r="E5" s="136"/>
    </row>
    <row r="6" spans="1:21">
      <c r="D6" s="137"/>
    </row>
    <row r="7" spans="1:21">
      <c r="C7" s="127"/>
      <c r="D7" s="128"/>
      <c r="E7" s="129"/>
    </row>
    <row r="8" spans="1:21">
      <c r="C8" s="130"/>
      <c r="D8" s="131" t="s">
        <v>210</v>
      </c>
      <c r="E8" s="132"/>
    </row>
    <row r="9" spans="1:21">
      <c r="C9" s="130"/>
      <c r="D9" s="133">
        <f>+ER!D11</f>
        <v>0</v>
      </c>
      <c r="E9" s="132"/>
      <c r="G9" s="127"/>
      <c r="H9" s="128"/>
      <c r="I9" s="129"/>
    </row>
    <row r="10" spans="1:21">
      <c r="C10" s="134"/>
      <c r="D10" s="135"/>
      <c r="E10" s="136"/>
      <c r="G10" s="130"/>
      <c r="H10" s="131" t="s">
        <v>211</v>
      </c>
      <c r="I10" s="132"/>
    </row>
    <row r="11" spans="1:21">
      <c r="D11" s="137"/>
      <c r="G11" s="130"/>
      <c r="H11" s="133" t="e">
        <f>D4-D9-D14-D19-D24</f>
        <v>#REF!</v>
      </c>
      <c r="I11" s="132"/>
    </row>
    <row r="12" spans="1:21">
      <c r="A12" s="138" t="s">
        <v>212</v>
      </c>
      <c r="C12" s="127"/>
      <c r="D12" s="128"/>
      <c r="E12" s="129"/>
      <c r="G12" s="134"/>
      <c r="H12" s="135"/>
      <c r="I12" s="136"/>
      <c r="K12" s="127"/>
      <c r="L12" s="128"/>
      <c r="M12" s="129"/>
    </row>
    <row r="13" spans="1:21">
      <c r="A13" s="139" t="s">
        <v>213</v>
      </c>
      <c r="C13" s="130"/>
      <c r="D13" s="131" t="s">
        <v>214</v>
      </c>
      <c r="E13" s="132"/>
      <c r="K13" s="130"/>
      <c r="L13" s="131" t="s">
        <v>215</v>
      </c>
      <c r="M13" s="132"/>
    </row>
    <row r="14" spans="1:21">
      <c r="A14" s="139" t="s">
        <v>216</v>
      </c>
      <c r="C14" s="130"/>
      <c r="D14" s="133" t="e">
        <f>+ER!#REF!*-1</f>
        <v>#REF!</v>
      </c>
      <c r="E14" s="132"/>
      <c r="K14" s="130"/>
      <c r="L14" s="140">
        <f>IFERROR(H11/H17,0)</f>
        <v>0</v>
      </c>
      <c r="M14" s="132"/>
    </row>
    <row r="15" spans="1:21">
      <c r="A15" s="141" t="s">
        <v>217</v>
      </c>
      <c r="C15" s="134"/>
      <c r="D15" s="135"/>
      <c r="E15" s="136"/>
      <c r="G15" s="127"/>
      <c r="H15" s="128"/>
      <c r="I15" s="129"/>
      <c r="K15" s="134"/>
      <c r="L15" s="135"/>
      <c r="M15" s="136"/>
    </row>
    <row r="16" spans="1:21">
      <c r="D16" s="137"/>
      <c r="G16" s="130"/>
      <c r="H16" s="131" t="s">
        <v>209</v>
      </c>
      <c r="I16" s="132"/>
    </row>
    <row r="17" spans="3:17">
      <c r="C17" s="127"/>
      <c r="D17" s="128"/>
      <c r="E17" s="129"/>
      <c r="G17" s="130"/>
      <c r="H17" s="133">
        <f>D4</f>
        <v>0</v>
      </c>
      <c r="I17" s="132"/>
    </row>
    <row r="18" spans="3:17">
      <c r="C18" s="130"/>
      <c r="D18" s="131" t="s">
        <v>218</v>
      </c>
      <c r="E18" s="132"/>
      <c r="G18" s="134"/>
      <c r="H18" s="135"/>
      <c r="I18" s="136"/>
    </row>
    <row r="19" spans="3:17">
      <c r="C19" s="130"/>
      <c r="D19" s="133">
        <f>+ER!D27*-1</f>
        <v>0</v>
      </c>
      <c r="E19" s="132"/>
    </row>
    <row r="20" spans="3:17">
      <c r="C20" s="134"/>
      <c r="D20" s="135"/>
      <c r="E20" s="136"/>
    </row>
    <row r="21" spans="3:17">
      <c r="D21" s="137"/>
    </row>
    <row r="22" spans="3:17">
      <c r="C22" s="127"/>
      <c r="D22" s="128"/>
      <c r="E22" s="129"/>
      <c r="O22" s="142"/>
      <c r="P22" s="143"/>
      <c r="Q22" s="144"/>
    </row>
    <row r="23" spans="3:17">
      <c r="C23" s="130"/>
      <c r="D23" s="131" t="s">
        <v>219</v>
      </c>
      <c r="E23" s="132"/>
      <c r="O23" s="145"/>
      <c r="P23" s="146" t="s">
        <v>220</v>
      </c>
      <c r="Q23" s="147"/>
    </row>
    <row r="24" spans="3:17">
      <c r="C24" s="130"/>
      <c r="D24" s="133">
        <v>0</v>
      </c>
      <c r="E24" s="132"/>
      <c r="O24" s="145"/>
      <c r="P24" s="148">
        <f>L14*L34</f>
        <v>0</v>
      </c>
      <c r="Q24" s="147"/>
    </row>
    <row r="25" spans="3:17">
      <c r="C25" s="134"/>
      <c r="D25" s="135"/>
      <c r="E25" s="136"/>
      <c r="O25" s="149"/>
      <c r="P25" s="150"/>
      <c r="Q25" s="151"/>
    </row>
    <row r="26" spans="3:17"/>
    <row r="27" spans="3:17"/>
    <row r="28" spans="3:17"/>
    <row r="29" spans="3:17">
      <c r="G29" s="127"/>
      <c r="H29" s="128"/>
      <c r="I29" s="129"/>
    </row>
    <row r="30" spans="3:17">
      <c r="G30" s="130"/>
      <c r="H30" s="131" t="s">
        <v>209</v>
      </c>
      <c r="I30" s="132"/>
    </row>
    <row r="31" spans="3:17">
      <c r="G31" s="130"/>
      <c r="H31" s="133">
        <f>D4</f>
        <v>0</v>
      </c>
      <c r="I31" s="132"/>
    </row>
    <row r="32" spans="3:17">
      <c r="G32" s="134"/>
      <c r="H32" s="135"/>
      <c r="I32" s="136"/>
      <c r="K32" s="152"/>
      <c r="L32" s="153"/>
      <c r="M32" s="154"/>
    </row>
    <row r="33" spans="1:21">
      <c r="C33" s="152"/>
      <c r="D33" s="153"/>
      <c r="E33" s="154"/>
      <c r="K33" s="155"/>
      <c r="L33" s="156" t="s">
        <v>221</v>
      </c>
      <c r="M33" s="157"/>
    </row>
    <row r="34" spans="1:21">
      <c r="C34" s="155"/>
      <c r="D34" s="156" t="s">
        <v>222</v>
      </c>
      <c r="E34" s="157"/>
      <c r="K34" s="155"/>
      <c r="L34" s="158">
        <f>IFERROR(H31/H37,0)</f>
        <v>0</v>
      </c>
      <c r="M34" s="157"/>
    </row>
    <row r="35" spans="1:21">
      <c r="C35" s="155"/>
      <c r="D35" s="158">
        <f>+BG!D21</f>
        <v>0</v>
      </c>
      <c r="E35" s="157"/>
      <c r="G35" s="152"/>
      <c r="H35" s="153"/>
      <c r="I35" s="154"/>
      <c r="K35" s="159"/>
      <c r="L35" s="160"/>
      <c r="M35" s="161"/>
    </row>
    <row r="36" spans="1:21">
      <c r="C36" s="159"/>
      <c r="D36" s="160"/>
      <c r="E36" s="161"/>
      <c r="G36" s="155"/>
      <c r="H36" s="156" t="s">
        <v>223</v>
      </c>
      <c r="I36" s="157"/>
    </row>
    <row r="37" spans="1:21">
      <c r="G37" s="155"/>
      <c r="H37" s="158">
        <f>D35+D40</f>
        <v>0</v>
      </c>
      <c r="I37" s="157"/>
      <c r="S37" s="162"/>
      <c r="T37" s="163"/>
      <c r="U37" s="164"/>
    </row>
    <row r="38" spans="1:21">
      <c r="C38" s="152"/>
      <c r="D38" s="153"/>
      <c r="E38" s="154"/>
      <c r="G38" s="159"/>
      <c r="H38" s="160"/>
      <c r="I38" s="161"/>
      <c r="S38" s="165"/>
      <c r="T38" s="166" t="s">
        <v>224</v>
      </c>
      <c r="U38" s="167"/>
    </row>
    <row r="39" spans="1:21">
      <c r="C39" s="155"/>
      <c r="D39" s="156" t="s">
        <v>225</v>
      </c>
      <c r="E39" s="157"/>
      <c r="S39" s="165"/>
      <c r="T39" s="168">
        <f>P24*P54</f>
        <v>0</v>
      </c>
      <c r="U39" s="167"/>
    </row>
    <row r="40" spans="1:21">
      <c r="C40" s="155"/>
      <c r="D40" s="158">
        <f>+BG!D23</f>
        <v>0</v>
      </c>
      <c r="E40" s="157"/>
      <c r="S40" s="169"/>
      <c r="T40" s="170"/>
      <c r="U40" s="171"/>
    </row>
    <row r="41" spans="1:21">
      <c r="C41" s="159"/>
      <c r="D41" s="160"/>
      <c r="E41" s="161"/>
    </row>
    <row r="42" spans="1:21"/>
    <row r="43" spans="1:21">
      <c r="A43" s="138" t="s">
        <v>226</v>
      </c>
      <c r="C43" s="152"/>
      <c r="D43" s="153"/>
      <c r="E43" s="154"/>
    </row>
    <row r="44" spans="1:21">
      <c r="A44" s="139" t="s">
        <v>227</v>
      </c>
      <c r="C44" s="155"/>
      <c r="D44" s="156" t="s">
        <v>228</v>
      </c>
      <c r="E44" s="157"/>
    </row>
    <row r="45" spans="1:21">
      <c r="A45" s="141" t="s">
        <v>229</v>
      </c>
      <c r="C45" s="155"/>
      <c r="D45" s="158">
        <f>+BG!D42</f>
        <v>0</v>
      </c>
      <c r="E45" s="157"/>
    </row>
    <row r="46" spans="1:21">
      <c r="C46" s="159"/>
      <c r="D46" s="160"/>
      <c r="E46" s="161"/>
      <c r="G46" s="152"/>
      <c r="H46" s="153"/>
      <c r="I46" s="154"/>
    </row>
    <row r="47" spans="1:21">
      <c r="G47" s="155"/>
      <c r="H47" s="156" t="s">
        <v>230</v>
      </c>
      <c r="I47" s="157"/>
    </row>
    <row r="48" spans="1:21">
      <c r="C48" s="152"/>
      <c r="D48" s="153"/>
      <c r="E48" s="154"/>
      <c r="G48" s="155"/>
      <c r="H48" s="158">
        <f>D45+D50</f>
        <v>0</v>
      </c>
      <c r="I48" s="157"/>
    </row>
    <row r="49" spans="3:17">
      <c r="C49" s="155"/>
      <c r="D49" s="156" t="s">
        <v>231</v>
      </c>
      <c r="E49" s="157"/>
      <c r="G49" s="159"/>
      <c r="H49" s="160"/>
      <c r="I49" s="161"/>
      <c r="K49" s="152"/>
      <c r="L49" s="153"/>
      <c r="M49" s="154"/>
    </row>
    <row r="50" spans="3:17">
      <c r="C50" s="155"/>
      <c r="D50" s="158">
        <f>+BG!D51</f>
        <v>0</v>
      </c>
      <c r="E50" s="157"/>
      <c r="K50" s="155"/>
      <c r="L50" s="156" t="s">
        <v>232</v>
      </c>
      <c r="M50" s="157"/>
    </row>
    <row r="51" spans="3:17">
      <c r="C51" s="159"/>
      <c r="D51" s="160"/>
      <c r="E51" s="161"/>
      <c r="K51" s="155"/>
      <c r="L51" s="158">
        <f>H48+H54</f>
        <v>0</v>
      </c>
      <c r="M51" s="157"/>
    </row>
    <row r="52" spans="3:17">
      <c r="G52" s="152"/>
      <c r="H52" s="153"/>
      <c r="I52" s="154"/>
      <c r="K52" s="159"/>
      <c r="L52" s="160"/>
      <c r="M52" s="161"/>
      <c r="O52" s="142"/>
      <c r="P52" s="143"/>
      <c r="Q52" s="144"/>
    </row>
    <row r="53" spans="3:17">
      <c r="G53" s="155"/>
      <c r="H53" s="156" t="s">
        <v>233</v>
      </c>
      <c r="I53" s="157"/>
      <c r="O53" s="145"/>
      <c r="P53" s="146" t="s">
        <v>234</v>
      </c>
      <c r="Q53" s="147"/>
    </row>
    <row r="54" spans="3:17">
      <c r="G54" s="155"/>
      <c r="H54" s="158">
        <f>+BG!D62</f>
        <v>0</v>
      </c>
      <c r="I54" s="157"/>
      <c r="O54" s="145"/>
      <c r="P54" s="172">
        <f>IFERROR(L51/L57,0)</f>
        <v>0</v>
      </c>
      <c r="Q54" s="147"/>
    </row>
    <row r="55" spans="3:17">
      <c r="G55" s="159"/>
      <c r="H55" s="160"/>
      <c r="I55" s="161"/>
      <c r="K55" s="152"/>
      <c r="L55" s="153"/>
      <c r="M55" s="154"/>
      <c r="O55" s="149"/>
      <c r="P55" s="150"/>
      <c r="Q55" s="151"/>
    </row>
    <row r="56" spans="3:17">
      <c r="K56" s="155"/>
      <c r="L56" s="156" t="s">
        <v>233</v>
      </c>
      <c r="M56" s="157"/>
    </row>
    <row r="57" spans="3:17">
      <c r="K57" s="155"/>
      <c r="L57" s="158">
        <f>H54</f>
        <v>0</v>
      </c>
      <c r="M57" s="157"/>
    </row>
    <row r="58" spans="3:17">
      <c r="K58" s="159"/>
      <c r="L58" s="160"/>
      <c r="M58" s="161"/>
    </row>
    <row r="59" spans="3:17"/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06B4-65DF-4125-A0F9-782BE10815C6}">
  <sheetPr codeName="Hoja4"/>
  <dimension ref="A2:G132"/>
  <sheetViews>
    <sheetView topLeftCell="A88" workbookViewId="0">
      <selection activeCell="C80" sqref="C80:F88"/>
    </sheetView>
  </sheetViews>
  <sheetFormatPr baseColWidth="10" defaultRowHeight="12.5"/>
  <cols>
    <col min="1" max="1" width="63.08984375" style="86" bestFit="1" customWidth="1"/>
    <col min="2" max="2" width="3.1796875" style="86" customWidth="1"/>
    <col min="3" max="6" width="10.90625" style="86"/>
    <col min="7" max="7" width="13.7265625" style="86" bestFit="1" customWidth="1"/>
    <col min="8" max="16384" width="10.90625" style="86"/>
  </cols>
  <sheetData>
    <row r="2" spans="1:7" ht="13">
      <c r="C2" s="125">
        <v>2021</v>
      </c>
      <c r="D2" s="125">
        <v>2022</v>
      </c>
      <c r="E2" s="125">
        <v>2023</v>
      </c>
      <c r="G2" s="125" t="s">
        <v>238</v>
      </c>
    </row>
    <row r="4" spans="1:7" ht="13">
      <c r="A4" s="99" t="s">
        <v>206</v>
      </c>
      <c r="C4" s="88"/>
      <c r="D4" s="175"/>
      <c r="E4" s="175"/>
      <c r="F4" s="88"/>
    </row>
    <row r="5" spans="1:7" ht="5.5" customHeight="1">
      <c r="C5" s="88"/>
      <c r="D5" s="88"/>
      <c r="E5" s="88"/>
      <c r="F5" s="88"/>
    </row>
    <row r="6" spans="1:7">
      <c r="C6" s="88"/>
      <c r="D6" s="88"/>
      <c r="E6" s="88"/>
      <c r="F6" s="88"/>
    </row>
    <row r="7" spans="1:7">
      <c r="A7" s="86" t="s">
        <v>249</v>
      </c>
      <c r="C7" s="88"/>
      <c r="D7" s="88"/>
      <c r="E7" s="88"/>
      <c r="F7" s="88"/>
    </row>
    <row r="8" spans="1:7">
      <c r="A8" s="86" t="s">
        <v>250</v>
      </c>
      <c r="C8" s="88"/>
      <c r="D8" s="88"/>
      <c r="E8" s="88"/>
      <c r="F8" s="88"/>
    </row>
    <row r="9" spans="1:7">
      <c r="A9" s="86" t="s">
        <v>251</v>
      </c>
      <c r="C9" s="88"/>
      <c r="D9" s="88"/>
      <c r="E9" s="88"/>
      <c r="F9" s="88"/>
    </row>
    <row r="10" spans="1:7">
      <c r="A10" s="86" t="s">
        <v>252</v>
      </c>
      <c r="C10" s="88"/>
      <c r="D10" s="88"/>
      <c r="E10" s="88"/>
      <c r="F10" s="88"/>
    </row>
    <row r="11" spans="1:7">
      <c r="A11" s="86" t="s">
        <v>253</v>
      </c>
      <c r="C11" s="88"/>
      <c r="D11" s="88"/>
      <c r="E11" s="88"/>
      <c r="F11" s="88"/>
    </row>
    <row r="12" spans="1:7">
      <c r="A12" s="86" t="s">
        <v>254</v>
      </c>
      <c r="C12" s="88"/>
      <c r="D12" s="88"/>
      <c r="E12" s="88"/>
      <c r="F12" s="88"/>
    </row>
    <row r="13" spans="1:7">
      <c r="A13" s="86" t="s">
        <v>267</v>
      </c>
      <c r="C13" s="88"/>
      <c r="D13" s="88"/>
      <c r="E13" s="88"/>
      <c r="F13" s="88"/>
    </row>
    <row r="14" spans="1:7">
      <c r="A14" s="86" t="s">
        <v>268</v>
      </c>
      <c r="C14" s="88"/>
      <c r="D14" s="88"/>
      <c r="E14" s="88"/>
      <c r="F14" s="88"/>
    </row>
    <row r="15" spans="1:7">
      <c r="A15" s="86" t="s">
        <v>269</v>
      </c>
      <c r="C15" s="88"/>
      <c r="D15" s="88"/>
      <c r="E15" s="88"/>
      <c r="F15" s="88"/>
    </row>
    <row r="16" spans="1:7">
      <c r="A16" s="86" t="s">
        <v>270</v>
      </c>
      <c r="C16" s="88"/>
      <c r="D16" s="88"/>
      <c r="E16" s="88"/>
      <c r="F16" s="88"/>
    </row>
    <row r="17" spans="1:6">
      <c r="C17" s="88"/>
      <c r="D17" s="88"/>
      <c r="E17" s="88"/>
      <c r="F17" s="88"/>
    </row>
    <row r="18" spans="1:6">
      <c r="C18" s="88"/>
      <c r="D18" s="88"/>
      <c r="E18" s="88"/>
      <c r="F18" s="88"/>
    </row>
    <row r="19" spans="1:6">
      <c r="C19" s="88"/>
      <c r="D19" s="88"/>
      <c r="E19" s="88"/>
      <c r="F19" s="88"/>
    </row>
    <row r="20" spans="1:6">
      <c r="C20" s="88"/>
      <c r="D20" s="88"/>
      <c r="E20" s="88"/>
      <c r="F20" s="88"/>
    </row>
    <row r="21" spans="1:6" ht="13">
      <c r="A21" s="99" t="s">
        <v>207</v>
      </c>
      <c r="C21" s="90">
        <f>SUM(C7:C20)</f>
        <v>0</v>
      </c>
      <c r="D21" s="90">
        <f t="shared" ref="D21:E21" si="0">SUM(D7:D20)</f>
        <v>0</v>
      </c>
      <c r="E21" s="90">
        <f t="shared" si="0"/>
        <v>0</v>
      </c>
      <c r="F21" s="88"/>
    </row>
    <row r="22" spans="1:6" ht="13">
      <c r="A22" s="99"/>
      <c r="C22" s="90"/>
      <c r="D22" s="90"/>
      <c r="E22" s="90"/>
      <c r="F22" s="88"/>
    </row>
    <row r="23" spans="1:6" ht="13">
      <c r="A23" s="99" t="s">
        <v>255</v>
      </c>
      <c r="C23" s="90"/>
      <c r="D23" s="90"/>
      <c r="E23" s="90"/>
      <c r="F23" s="88"/>
    </row>
    <row r="24" spans="1:6" ht="7.5" customHeight="1">
      <c r="A24" s="99"/>
      <c r="C24" s="90"/>
      <c r="D24" s="90"/>
      <c r="E24" s="88"/>
      <c r="F24" s="88"/>
    </row>
    <row r="25" spans="1:6">
      <c r="A25" s="86" t="s">
        <v>256</v>
      </c>
      <c r="C25" s="88"/>
      <c r="D25" s="88"/>
      <c r="E25" s="88"/>
      <c r="F25" s="88"/>
    </row>
    <row r="26" spans="1:6">
      <c r="A26" s="86" t="s">
        <v>257</v>
      </c>
      <c r="C26" s="88"/>
      <c r="D26" s="88"/>
      <c r="E26" s="88"/>
      <c r="F26" s="88"/>
    </row>
    <row r="27" spans="1:6">
      <c r="A27" s="86" t="s">
        <v>258</v>
      </c>
      <c r="C27" s="88"/>
      <c r="D27" s="88"/>
      <c r="E27" s="88"/>
      <c r="F27" s="88"/>
    </row>
    <row r="28" spans="1:6">
      <c r="A28" s="86" t="s">
        <v>259</v>
      </c>
      <c r="C28" s="88"/>
      <c r="D28" s="88"/>
      <c r="E28" s="88"/>
      <c r="F28" s="88"/>
    </row>
    <row r="29" spans="1:6">
      <c r="A29" s="86" t="s">
        <v>260</v>
      </c>
      <c r="C29" s="88"/>
      <c r="D29" s="88"/>
      <c r="E29" s="88"/>
      <c r="F29" s="88"/>
    </row>
    <row r="30" spans="1:6">
      <c r="A30" s="86" t="s">
        <v>261</v>
      </c>
      <c r="C30" s="88"/>
      <c r="D30" s="88"/>
      <c r="E30" s="88"/>
      <c r="F30" s="88"/>
    </row>
    <row r="31" spans="1:6">
      <c r="A31" s="86" t="s">
        <v>262</v>
      </c>
      <c r="C31" s="88"/>
      <c r="D31" s="88"/>
      <c r="E31" s="88"/>
      <c r="F31" s="88"/>
    </row>
    <row r="32" spans="1:6" ht="13">
      <c r="A32" s="86" t="s">
        <v>263</v>
      </c>
      <c r="C32" s="88"/>
      <c r="D32" s="90"/>
      <c r="E32" s="88"/>
      <c r="F32" s="88"/>
    </row>
    <row r="33" spans="1:6">
      <c r="A33" s="86" t="s">
        <v>264</v>
      </c>
      <c r="C33" s="88"/>
      <c r="D33" s="88"/>
      <c r="E33" s="88"/>
      <c r="F33" s="88"/>
    </row>
    <row r="34" spans="1:6">
      <c r="A34" s="86" t="s">
        <v>265</v>
      </c>
      <c r="C34" s="88"/>
      <c r="D34" s="88"/>
      <c r="E34" s="88"/>
      <c r="F34" s="88"/>
    </row>
    <row r="35" spans="1:6">
      <c r="A35" s="86" t="s">
        <v>266</v>
      </c>
      <c r="C35" s="88"/>
      <c r="D35" s="88"/>
      <c r="E35" s="88"/>
      <c r="F35" s="88"/>
    </row>
    <row r="36" spans="1:6">
      <c r="A36" s="86" t="s">
        <v>271</v>
      </c>
      <c r="C36" s="88"/>
      <c r="D36" s="88"/>
      <c r="E36" s="88"/>
      <c r="F36" s="88"/>
    </row>
    <row r="37" spans="1:6">
      <c r="A37" s="86" t="s">
        <v>272</v>
      </c>
      <c r="C37" s="88"/>
      <c r="D37" s="88"/>
      <c r="E37" s="88"/>
      <c r="F37" s="88"/>
    </row>
    <row r="38" spans="1:6">
      <c r="A38" s="86" t="s">
        <v>273</v>
      </c>
      <c r="C38" s="88"/>
      <c r="D38" s="88"/>
      <c r="E38" s="88"/>
      <c r="F38" s="88"/>
    </row>
    <row r="39" spans="1:6">
      <c r="A39" s="86" t="s">
        <v>274</v>
      </c>
      <c r="C39" s="88"/>
      <c r="D39" s="88"/>
      <c r="E39" s="88"/>
      <c r="F39" s="88"/>
    </row>
    <row r="40" spans="1:6">
      <c r="A40" s="86" t="s">
        <v>275</v>
      </c>
      <c r="C40" s="88"/>
      <c r="D40" s="88"/>
      <c r="E40" s="88"/>
      <c r="F40" s="88"/>
    </row>
    <row r="41" spans="1:6">
      <c r="A41" s="86" t="s">
        <v>276</v>
      </c>
      <c r="C41" s="88"/>
      <c r="D41" s="88"/>
      <c r="E41" s="88"/>
      <c r="F41" s="88"/>
    </row>
    <row r="42" spans="1:6">
      <c r="A42" s="86" t="s">
        <v>277</v>
      </c>
      <c r="C42" s="88"/>
      <c r="D42" s="88"/>
      <c r="E42" s="88"/>
      <c r="F42" s="88"/>
    </row>
    <row r="43" spans="1:6">
      <c r="A43" s="86" t="s">
        <v>278</v>
      </c>
      <c r="C43" s="88"/>
      <c r="D43" s="88"/>
      <c r="E43" s="88"/>
      <c r="F43" s="88"/>
    </row>
    <row r="44" spans="1:6">
      <c r="A44" s="86" t="s">
        <v>279</v>
      </c>
      <c r="C44" s="88"/>
      <c r="D44" s="88"/>
      <c r="E44" s="88"/>
      <c r="F44" s="88"/>
    </row>
    <row r="45" spans="1:6">
      <c r="A45" s="86" t="s">
        <v>280</v>
      </c>
      <c r="C45" s="88"/>
      <c r="D45" s="88"/>
      <c r="E45" s="88"/>
      <c r="F45" s="88"/>
    </row>
    <row r="46" spans="1:6">
      <c r="A46" s="86" t="s">
        <v>281</v>
      </c>
      <c r="C46" s="88"/>
      <c r="D46" s="88"/>
      <c r="E46" s="88"/>
      <c r="F46" s="88"/>
    </row>
    <row r="47" spans="1:6">
      <c r="A47" s="86" t="s">
        <v>282</v>
      </c>
      <c r="C47" s="88"/>
      <c r="D47" s="88"/>
      <c r="E47" s="88"/>
      <c r="F47" s="88"/>
    </row>
    <row r="48" spans="1:6">
      <c r="A48" s="86" t="s">
        <v>283</v>
      </c>
      <c r="C48" s="88"/>
      <c r="D48" s="88"/>
      <c r="E48" s="88"/>
      <c r="F48" s="88"/>
    </row>
    <row r="49" spans="1:7">
      <c r="C49" s="88"/>
      <c r="D49" s="88"/>
      <c r="E49" s="88"/>
      <c r="F49" s="88"/>
    </row>
    <row r="50" spans="1:7" ht="13">
      <c r="C50" s="90"/>
      <c r="D50" s="88"/>
      <c r="E50" s="88"/>
      <c r="F50" s="88"/>
    </row>
    <row r="51" spans="1:7" ht="13">
      <c r="A51" s="99"/>
      <c r="C51" s="90"/>
      <c r="D51" s="90"/>
      <c r="E51" s="90"/>
      <c r="F51" s="88"/>
    </row>
    <row r="52" spans="1:7" ht="13">
      <c r="A52" s="99" t="s">
        <v>207</v>
      </c>
      <c r="C52" s="90">
        <f>SUM(C25:C50)</f>
        <v>0</v>
      </c>
      <c r="D52" s="90">
        <f>SUM(D25:D50)</f>
        <v>0</v>
      </c>
      <c r="E52" s="90">
        <f>SUM(E25:E50)</f>
        <v>0</v>
      </c>
      <c r="F52" s="88"/>
    </row>
    <row r="53" spans="1:7" ht="13">
      <c r="C53" s="88"/>
      <c r="D53" s="90"/>
      <c r="E53" s="90"/>
      <c r="F53" s="88"/>
    </row>
    <row r="54" spans="1:7" ht="13">
      <c r="A54" s="99" t="s">
        <v>199</v>
      </c>
      <c r="C54" s="88"/>
      <c r="D54" s="88"/>
      <c r="E54" s="88"/>
      <c r="F54" s="88"/>
    </row>
    <row r="55" spans="1:7" ht="5.5" customHeight="1">
      <c r="C55" s="88"/>
      <c r="D55" s="88"/>
      <c r="E55" s="88"/>
      <c r="F55" s="88"/>
    </row>
    <row r="56" spans="1:7">
      <c r="C56" s="88"/>
      <c r="D56" s="88"/>
      <c r="E56" s="88"/>
      <c r="F56" s="88"/>
      <c r="G56" s="111"/>
    </row>
    <row r="57" spans="1:7">
      <c r="C57" s="88"/>
      <c r="D57" s="88"/>
      <c r="E57" s="88"/>
      <c r="F57" s="88"/>
    </row>
    <row r="58" spans="1:7">
      <c r="C58" s="88"/>
      <c r="D58" s="88"/>
      <c r="E58" s="88"/>
      <c r="F58" s="88"/>
    </row>
    <row r="59" spans="1:7" ht="13">
      <c r="A59" s="99" t="s">
        <v>207</v>
      </c>
      <c r="C59" s="90">
        <f>SUM(C56:C58)</f>
        <v>0</v>
      </c>
      <c r="D59" s="90">
        <f>SUM(D56:D58)</f>
        <v>0</v>
      </c>
      <c r="E59" s="90">
        <f>SUM(E56:E58)</f>
        <v>0</v>
      </c>
      <c r="F59" s="88"/>
    </row>
    <row r="60" spans="1:7">
      <c r="C60" s="88"/>
      <c r="D60" s="88"/>
      <c r="E60" s="88"/>
      <c r="F60" s="88"/>
    </row>
    <row r="61" spans="1:7">
      <c r="C61" s="88"/>
      <c r="D61" s="88"/>
      <c r="E61" s="88"/>
      <c r="F61" s="88"/>
    </row>
    <row r="62" spans="1:7">
      <c r="C62" s="88"/>
      <c r="D62" s="88"/>
      <c r="E62" s="88"/>
      <c r="F62" s="88"/>
    </row>
    <row r="63" spans="1:7" ht="13">
      <c r="A63" s="99" t="s">
        <v>235</v>
      </c>
      <c r="C63" s="88"/>
      <c r="D63" s="88"/>
      <c r="E63" s="88"/>
      <c r="F63" s="88"/>
    </row>
    <row r="64" spans="1:7" ht="13">
      <c r="A64" s="99"/>
      <c r="C64" s="88"/>
      <c r="D64" s="88"/>
      <c r="E64" s="88"/>
      <c r="F64" s="88"/>
    </row>
    <row r="65" spans="1:6" ht="13">
      <c r="A65" s="99" t="s">
        <v>284</v>
      </c>
      <c r="C65" s="88"/>
      <c r="D65" s="88"/>
      <c r="E65" s="88"/>
      <c r="F65" s="88"/>
    </row>
    <row r="66" spans="1:6">
      <c r="C66" s="88"/>
      <c r="D66" s="88"/>
      <c r="E66" s="88"/>
      <c r="F66" s="88"/>
    </row>
    <row r="67" spans="1:6">
      <c r="A67" s="86" t="s">
        <v>260</v>
      </c>
      <c r="C67" s="88"/>
      <c r="D67" s="88"/>
      <c r="E67" s="88"/>
      <c r="F67" s="88"/>
    </row>
    <row r="68" spans="1:6">
      <c r="A68" s="86" t="s">
        <v>285</v>
      </c>
      <c r="C68" s="88"/>
      <c r="D68" s="88"/>
      <c r="E68" s="88"/>
      <c r="F68" s="88"/>
    </row>
    <row r="69" spans="1:6">
      <c r="A69" s="86" t="s">
        <v>286</v>
      </c>
      <c r="C69" s="88"/>
      <c r="D69" s="88"/>
      <c r="E69" s="88"/>
      <c r="F69" s="88"/>
    </row>
    <row r="70" spans="1:6">
      <c r="A70" s="86" t="s">
        <v>287</v>
      </c>
      <c r="C70" s="88"/>
      <c r="D70" s="88"/>
      <c r="E70" s="88"/>
      <c r="F70" s="88"/>
    </row>
    <row r="71" spans="1:6">
      <c r="A71" s="86" t="s">
        <v>288</v>
      </c>
      <c r="C71" s="88"/>
      <c r="D71" s="88"/>
      <c r="E71" s="88"/>
      <c r="F71" s="88"/>
    </row>
    <row r="72" spans="1:6">
      <c r="A72" s="86" t="s">
        <v>289</v>
      </c>
      <c r="C72" s="88"/>
      <c r="D72" s="88"/>
      <c r="E72" s="88"/>
      <c r="F72" s="88"/>
    </row>
    <row r="73" spans="1:6">
      <c r="A73" s="86" t="s">
        <v>290</v>
      </c>
      <c r="C73" s="88"/>
      <c r="D73" s="88"/>
      <c r="E73" s="88"/>
      <c r="F73" s="88"/>
    </row>
    <row r="74" spans="1:6">
      <c r="A74" s="86" t="s">
        <v>291</v>
      </c>
      <c r="C74" s="88"/>
      <c r="D74" s="88"/>
      <c r="E74" s="88"/>
      <c r="F74" s="88"/>
    </row>
    <row r="75" spans="1:6">
      <c r="A75" s="86" t="s">
        <v>292</v>
      </c>
      <c r="C75" s="88"/>
      <c r="D75" s="88"/>
      <c r="E75" s="88"/>
      <c r="F75" s="88"/>
    </row>
    <row r="76" spans="1:6">
      <c r="C76" s="88"/>
      <c r="D76" s="88"/>
      <c r="E76" s="88"/>
      <c r="F76" s="88"/>
    </row>
    <row r="77" spans="1:6">
      <c r="C77" s="88"/>
      <c r="D77" s="88"/>
      <c r="E77" s="88"/>
      <c r="F77" s="88"/>
    </row>
    <row r="78" spans="1:6" ht="13">
      <c r="C78" s="90">
        <f>SUM(C66:C76)</f>
        <v>0</v>
      </c>
      <c r="D78" s="90">
        <f>SUM(D66:D76)</f>
        <v>0</v>
      </c>
      <c r="E78" s="90">
        <f>SUM(E66:E76)</f>
        <v>0</v>
      </c>
      <c r="F78" s="88"/>
    </row>
    <row r="79" spans="1:6" ht="13">
      <c r="A79" s="99" t="s">
        <v>236</v>
      </c>
      <c r="C79" s="88"/>
      <c r="D79" s="88"/>
      <c r="E79" s="88"/>
      <c r="F79" s="88"/>
    </row>
    <row r="80" spans="1:6">
      <c r="C80" s="88"/>
      <c r="D80" s="88"/>
      <c r="E80" s="88"/>
      <c r="F80" s="88"/>
    </row>
    <row r="81" spans="1:6">
      <c r="A81" s="86" t="s">
        <v>260</v>
      </c>
      <c r="C81" s="88"/>
      <c r="D81" s="88"/>
      <c r="E81" s="88"/>
      <c r="F81" s="88"/>
    </row>
    <row r="82" spans="1:6">
      <c r="A82" s="86" t="s">
        <v>293</v>
      </c>
      <c r="C82" s="88"/>
      <c r="D82" s="88"/>
      <c r="E82" s="88"/>
      <c r="F82" s="88"/>
    </row>
    <row r="83" spans="1:6">
      <c r="A83" s="86" t="s">
        <v>294</v>
      </c>
      <c r="C83" s="88"/>
      <c r="D83" s="88"/>
      <c r="E83" s="88"/>
      <c r="F83" s="88"/>
    </row>
    <row r="84" spans="1:6">
      <c r="A84" s="86" t="s">
        <v>295</v>
      </c>
      <c r="C84" s="88"/>
      <c r="D84" s="88"/>
      <c r="E84" s="88"/>
      <c r="F84" s="88"/>
    </row>
    <row r="85" spans="1:6">
      <c r="A85" s="86" t="s">
        <v>296</v>
      </c>
      <c r="C85" s="88"/>
      <c r="D85" s="88"/>
      <c r="E85" s="88"/>
      <c r="F85" s="88"/>
    </row>
    <row r="86" spans="1:6">
      <c r="A86" s="86" t="s">
        <v>297</v>
      </c>
      <c r="C86" s="88"/>
      <c r="D86" s="88"/>
      <c r="E86" s="88"/>
      <c r="F86" s="88"/>
    </row>
    <row r="87" spans="1:6">
      <c r="A87" s="86" t="s">
        <v>298</v>
      </c>
      <c r="C87" s="88"/>
      <c r="D87" s="88"/>
      <c r="E87" s="88"/>
      <c r="F87" s="88"/>
    </row>
    <row r="88" spans="1:6">
      <c r="A88" s="86" t="s">
        <v>293</v>
      </c>
      <c r="C88" s="88"/>
      <c r="D88" s="88"/>
      <c r="E88" s="88"/>
      <c r="F88" s="88"/>
    </row>
    <row r="89" spans="1:6">
      <c r="C89" s="88"/>
      <c r="D89" s="88"/>
      <c r="E89" s="88"/>
      <c r="F89" s="88"/>
    </row>
    <row r="90" spans="1:6">
      <c r="C90" s="88"/>
      <c r="D90" s="88"/>
      <c r="E90" s="88"/>
      <c r="F90" s="88"/>
    </row>
    <row r="91" spans="1:6" ht="13">
      <c r="C91" s="90">
        <f>SUM(C80:C89)</f>
        <v>0</v>
      </c>
      <c r="D91" s="90">
        <f>SUM(D80:D89)</f>
        <v>0</v>
      </c>
      <c r="E91" s="90">
        <f>SUM(E80:E89)</f>
        <v>0</v>
      </c>
      <c r="F91" s="88"/>
    </row>
    <row r="92" spans="1:6">
      <c r="C92" s="88"/>
      <c r="D92" s="88"/>
      <c r="E92" s="88"/>
      <c r="F92" s="88"/>
    </row>
    <row r="93" spans="1:6" ht="13">
      <c r="A93" s="99" t="s">
        <v>237</v>
      </c>
      <c r="C93" s="90">
        <f>+C78+C91</f>
        <v>0</v>
      </c>
      <c r="D93" s="90">
        <f>+D78+D91</f>
        <v>0</v>
      </c>
      <c r="E93" s="90">
        <f>+E78+E91</f>
        <v>0</v>
      </c>
      <c r="F93" s="88"/>
    </row>
    <row r="94" spans="1:6">
      <c r="C94" s="88"/>
      <c r="D94" s="88"/>
      <c r="E94" s="88"/>
      <c r="F94" s="88"/>
    </row>
    <row r="95" spans="1:6">
      <c r="C95" s="88"/>
      <c r="D95" s="88"/>
      <c r="E95" s="88"/>
      <c r="F95" s="88"/>
    </row>
    <row r="96" spans="1:6" ht="13">
      <c r="A96" s="99"/>
      <c r="C96" s="90"/>
      <c r="D96" s="90"/>
      <c r="E96" s="90"/>
      <c r="F96" s="88"/>
    </row>
    <row r="97" spans="3:6">
      <c r="C97" s="88"/>
      <c r="D97" s="88"/>
      <c r="E97" s="88"/>
      <c r="F97" s="88"/>
    </row>
    <row r="98" spans="3:6">
      <c r="C98" s="88"/>
      <c r="D98" s="88"/>
      <c r="E98" s="88"/>
      <c r="F98" s="88"/>
    </row>
    <row r="99" spans="3:6">
      <c r="C99" s="88"/>
      <c r="D99" s="88"/>
      <c r="E99" s="88"/>
      <c r="F99" s="88"/>
    </row>
    <row r="100" spans="3:6">
      <c r="C100" s="88"/>
      <c r="D100" s="88"/>
      <c r="E100" s="88"/>
      <c r="F100" s="88"/>
    </row>
    <row r="101" spans="3:6">
      <c r="C101" s="88"/>
      <c r="D101" s="88"/>
      <c r="E101" s="88"/>
      <c r="F101" s="88"/>
    </row>
    <row r="102" spans="3:6">
      <c r="C102" s="88"/>
      <c r="D102" s="88"/>
      <c r="E102" s="88"/>
      <c r="F102" s="88"/>
    </row>
    <row r="103" spans="3:6">
      <c r="C103" s="88"/>
      <c r="D103" s="88"/>
      <c r="E103" s="88"/>
      <c r="F103" s="88"/>
    </row>
    <row r="104" spans="3:6">
      <c r="C104" s="88"/>
      <c r="D104" s="88"/>
      <c r="E104" s="88"/>
      <c r="F104" s="88"/>
    </row>
    <row r="105" spans="3:6">
      <c r="C105" s="88"/>
      <c r="D105" s="88"/>
      <c r="E105" s="88"/>
      <c r="F105" s="88"/>
    </row>
    <row r="106" spans="3:6">
      <c r="C106" s="88"/>
      <c r="D106" s="88"/>
      <c r="E106" s="88"/>
      <c r="F106" s="88"/>
    </row>
    <row r="107" spans="3:6">
      <c r="C107" s="88"/>
      <c r="D107" s="88"/>
      <c r="E107" s="88"/>
      <c r="F107" s="88"/>
    </row>
    <row r="108" spans="3:6">
      <c r="C108" s="88"/>
      <c r="D108" s="88"/>
      <c r="E108" s="88"/>
      <c r="F108" s="88"/>
    </row>
    <row r="109" spans="3:6">
      <c r="C109" s="88"/>
      <c r="D109" s="88"/>
      <c r="E109" s="88"/>
      <c r="F109" s="88"/>
    </row>
    <row r="110" spans="3:6">
      <c r="C110" s="88"/>
      <c r="D110" s="88"/>
      <c r="E110" s="88"/>
      <c r="F110" s="88"/>
    </row>
    <row r="111" spans="3:6">
      <c r="C111" s="88"/>
      <c r="D111" s="88"/>
      <c r="E111" s="88"/>
      <c r="F111" s="88"/>
    </row>
    <row r="112" spans="3:6">
      <c r="C112" s="88"/>
      <c r="D112" s="88"/>
      <c r="E112" s="88"/>
      <c r="F112" s="88"/>
    </row>
    <row r="113" spans="3:6">
      <c r="C113" s="88"/>
      <c r="D113" s="88"/>
      <c r="E113" s="88"/>
      <c r="F113" s="88"/>
    </row>
    <row r="114" spans="3:6">
      <c r="C114" s="88"/>
      <c r="D114" s="88"/>
      <c r="E114" s="88"/>
      <c r="F114" s="88"/>
    </row>
    <row r="115" spans="3:6">
      <c r="C115" s="88"/>
      <c r="D115" s="88"/>
      <c r="E115" s="88"/>
      <c r="F115" s="88"/>
    </row>
    <row r="116" spans="3:6">
      <c r="C116" s="88"/>
      <c r="D116" s="88"/>
      <c r="E116" s="88"/>
      <c r="F116" s="88"/>
    </row>
    <row r="117" spans="3:6">
      <c r="C117" s="88"/>
      <c r="D117" s="88"/>
      <c r="E117" s="88"/>
      <c r="F117" s="88"/>
    </row>
    <row r="118" spans="3:6">
      <c r="C118" s="88"/>
      <c r="D118" s="88"/>
      <c r="E118" s="88"/>
      <c r="F118" s="88"/>
    </row>
    <row r="119" spans="3:6">
      <c r="C119" s="88"/>
      <c r="D119" s="88"/>
      <c r="E119" s="88"/>
      <c r="F119" s="88"/>
    </row>
    <row r="120" spans="3:6">
      <c r="C120" s="88"/>
      <c r="D120" s="88"/>
      <c r="E120" s="88"/>
      <c r="F120" s="88"/>
    </row>
    <row r="121" spans="3:6">
      <c r="C121" s="88"/>
      <c r="D121" s="88"/>
      <c r="E121" s="88"/>
      <c r="F121" s="88"/>
    </row>
    <row r="122" spans="3:6">
      <c r="C122" s="88"/>
      <c r="D122" s="88"/>
      <c r="E122" s="88"/>
      <c r="F122" s="88"/>
    </row>
    <row r="123" spans="3:6">
      <c r="C123" s="88"/>
      <c r="D123" s="88"/>
      <c r="E123" s="88"/>
      <c r="F123" s="88"/>
    </row>
    <row r="124" spans="3:6">
      <c r="C124" s="88"/>
      <c r="D124" s="88"/>
      <c r="E124" s="88"/>
      <c r="F124" s="88"/>
    </row>
    <row r="125" spans="3:6">
      <c r="C125" s="88"/>
      <c r="D125" s="88"/>
      <c r="E125" s="88"/>
      <c r="F125" s="88"/>
    </row>
    <row r="126" spans="3:6">
      <c r="C126" s="88"/>
      <c r="D126" s="88"/>
      <c r="E126" s="88"/>
      <c r="F126" s="88"/>
    </row>
    <row r="127" spans="3:6">
      <c r="C127" s="88"/>
      <c r="D127" s="88"/>
      <c r="E127" s="88"/>
      <c r="F127" s="88"/>
    </row>
    <row r="128" spans="3:6">
      <c r="C128" s="88"/>
      <c r="D128" s="88"/>
      <c r="E128" s="88"/>
      <c r="F128" s="88"/>
    </row>
    <row r="129" spans="3:6">
      <c r="C129" s="88"/>
      <c r="D129" s="88"/>
      <c r="E129" s="88"/>
      <c r="F129" s="88"/>
    </row>
    <row r="130" spans="3:6">
      <c r="C130" s="88"/>
      <c r="D130" s="88"/>
      <c r="E130" s="88"/>
      <c r="F130" s="88"/>
    </row>
    <row r="131" spans="3:6">
      <c r="C131" s="88"/>
      <c r="D131" s="88"/>
      <c r="E131" s="88"/>
      <c r="F131" s="88"/>
    </row>
    <row r="132" spans="3:6">
      <c r="C132" s="88"/>
      <c r="D132" s="88"/>
      <c r="E132" s="88"/>
      <c r="F132" s="8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5:K157"/>
  <sheetViews>
    <sheetView showGridLines="0" zoomScale="72" zoomScaleNormal="90" workbookViewId="0">
      <pane xSplit="1" ySplit="8" topLeftCell="D9" activePane="bottomRight" state="frozen"/>
      <selection pane="topRight" activeCell="B1" sqref="B1"/>
      <selection pane="bottomLeft" activeCell="A2" sqref="A2"/>
      <selection pane="bottomRight" activeCell="I22" sqref="I22"/>
    </sheetView>
  </sheetViews>
  <sheetFormatPr baseColWidth="10" defaultColWidth="11.453125" defaultRowHeight="12.5" outlineLevelRow="1" outlineLevelCol="1"/>
  <cols>
    <col min="1" max="1" width="54.26953125" style="85" customWidth="1"/>
    <col min="2" max="2" width="16" style="85" hidden="1" customWidth="1" outlineLevel="1"/>
    <col min="3" max="3" width="13.81640625" style="86" hidden="1" customWidth="1" outlineLevel="1" collapsed="1"/>
    <col min="4" max="4" width="12.6328125" style="85" bestFit="1" customWidth="1" collapsed="1"/>
    <col min="5" max="6" width="12.36328125" style="85" bestFit="1" customWidth="1"/>
    <col min="7" max="7" width="12.36328125" style="85" customWidth="1"/>
    <col min="8" max="8" width="11.453125" style="85"/>
    <col min="9" max="10" width="11.453125" style="224"/>
    <col min="11" max="16384" width="11.453125" style="85"/>
  </cols>
  <sheetData>
    <row r="5" spans="1:11" ht="13">
      <c r="A5" s="99" t="s">
        <v>337</v>
      </c>
    </row>
    <row r="6" spans="1:11" ht="13">
      <c r="A6" s="212" t="s">
        <v>330</v>
      </c>
    </row>
    <row r="8" spans="1:11" ht="13.5" thickBot="1">
      <c r="A8" s="213" t="s">
        <v>331</v>
      </c>
      <c r="B8" s="84">
        <v>2021</v>
      </c>
      <c r="C8" s="214">
        <v>2022</v>
      </c>
      <c r="D8" s="214">
        <v>2023</v>
      </c>
      <c r="E8" s="214">
        <v>2024</v>
      </c>
      <c r="F8" s="214">
        <v>2025</v>
      </c>
      <c r="G8" s="226">
        <v>46023</v>
      </c>
      <c r="I8" s="214" t="s">
        <v>344</v>
      </c>
      <c r="J8" s="214" t="s">
        <v>345</v>
      </c>
      <c r="K8" s="214" t="s">
        <v>354</v>
      </c>
    </row>
    <row r="9" spans="1:11" ht="13">
      <c r="A9" s="179" t="s">
        <v>0</v>
      </c>
      <c r="B9" s="179"/>
    </row>
    <row r="10" spans="1:11">
      <c r="A10" s="104" t="s">
        <v>1</v>
      </c>
      <c r="B10" s="87"/>
    </row>
    <row r="11" spans="1:11">
      <c r="A11" s="274" t="s">
        <v>2</v>
      </c>
      <c r="B11" s="88"/>
      <c r="C11" s="216"/>
      <c r="D11" s="88"/>
      <c r="E11" s="88"/>
      <c r="F11" s="88"/>
      <c r="G11" s="88"/>
      <c r="I11" s="225" t="e">
        <f t="shared" ref="I11:K15" si="0">+E11/D11-1</f>
        <v>#DIV/0!</v>
      </c>
      <c r="J11" s="225" t="e">
        <f t="shared" si="0"/>
        <v>#DIV/0!</v>
      </c>
      <c r="K11" s="225" t="e">
        <f t="shared" si="0"/>
        <v>#DIV/0!</v>
      </c>
    </row>
    <row r="12" spans="1:11">
      <c r="A12" s="274" t="s">
        <v>206</v>
      </c>
      <c r="B12" s="88"/>
      <c r="C12" s="207"/>
      <c r="D12" s="88"/>
      <c r="E12" s="88"/>
      <c r="F12" s="88"/>
      <c r="G12" s="88"/>
      <c r="I12" s="225" t="e">
        <f t="shared" si="0"/>
        <v>#DIV/0!</v>
      </c>
      <c r="J12" s="225" t="e">
        <f t="shared" si="0"/>
        <v>#DIV/0!</v>
      </c>
      <c r="K12" s="225" t="e">
        <f t="shared" si="0"/>
        <v>#DIV/0!</v>
      </c>
    </row>
    <row r="13" spans="1:11">
      <c r="A13" s="274" t="s">
        <v>324</v>
      </c>
      <c r="B13" s="88"/>
      <c r="C13" s="207"/>
      <c r="D13" s="88"/>
      <c r="E13" s="88"/>
      <c r="F13" s="88"/>
      <c r="G13" s="88"/>
      <c r="I13" s="237" t="e">
        <f t="shared" si="0"/>
        <v>#DIV/0!</v>
      </c>
      <c r="J13" s="237" t="e">
        <f t="shared" si="0"/>
        <v>#DIV/0!</v>
      </c>
      <c r="K13" s="237" t="e">
        <f t="shared" si="0"/>
        <v>#DIV/0!</v>
      </c>
    </row>
    <row r="14" spans="1:11">
      <c r="A14" s="206" t="s">
        <v>364</v>
      </c>
      <c r="B14" s="88"/>
      <c r="C14" s="88"/>
      <c r="D14" s="88"/>
      <c r="E14" s="88"/>
      <c r="F14" s="88"/>
      <c r="G14" s="88"/>
      <c r="I14" s="225" t="e">
        <f t="shared" si="0"/>
        <v>#DIV/0!</v>
      </c>
      <c r="J14" s="225" t="e">
        <f t="shared" si="0"/>
        <v>#DIV/0!</v>
      </c>
      <c r="K14" s="225" t="e">
        <f t="shared" si="0"/>
        <v>#DIV/0!</v>
      </c>
    </row>
    <row r="15" spans="1:11">
      <c r="A15" s="85" t="s">
        <v>356</v>
      </c>
      <c r="B15" s="88"/>
      <c r="C15" s="207"/>
      <c r="D15" s="88"/>
      <c r="E15" s="88"/>
      <c r="F15" s="88"/>
      <c r="G15" s="88"/>
      <c r="I15" s="225" t="e">
        <f t="shared" si="0"/>
        <v>#DIV/0!</v>
      </c>
      <c r="J15" s="225" t="e">
        <f t="shared" si="0"/>
        <v>#DIV/0!</v>
      </c>
      <c r="K15" s="225" t="e">
        <f t="shared" si="0"/>
        <v>#DIV/0!</v>
      </c>
    </row>
    <row r="16" spans="1:11">
      <c r="A16" s="87" t="s">
        <v>357</v>
      </c>
      <c r="B16" s="88"/>
      <c r="C16" s="88"/>
      <c r="D16" s="88"/>
      <c r="E16" s="88"/>
      <c r="F16" s="88"/>
      <c r="G16" s="88"/>
      <c r="I16" s="225" t="e">
        <f t="shared" ref="I16:I17" si="1">+E16/D16-1</f>
        <v>#DIV/0!</v>
      </c>
      <c r="J16" s="225" t="e">
        <f t="shared" ref="J16:K17" si="2">+F16/E16-1</f>
        <v>#DIV/0!</v>
      </c>
      <c r="K16" s="225" t="e">
        <f t="shared" si="2"/>
        <v>#DIV/0!</v>
      </c>
    </row>
    <row r="17" spans="1:11">
      <c r="A17" s="87" t="s">
        <v>358</v>
      </c>
      <c r="B17" s="88"/>
      <c r="C17" s="88"/>
      <c r="D17" s="88"/>
      <c r="E17" s="88"/>
      <c r="F17" s="88"/>
      <c r="G17" s="88"/>
      <c r="I17" s="225" t="e">
        <f t="shared" si="1"/>
        <v>#DIV/0!</v>
      </c>
      <c r="J17" s="225" t="e">
        <f t="shared" si="2"/>
        <v>#DIV/0!</v>
      </c>
      <c r="K17" s="225" t="e">
        <f t="shared" si="2"/>
        <v>#DIV/0!</v>
      </c>
    </row>
    <row r="18" spans="1:11">
      <c r="A18" s="87" t="s">
        <v>340</v>
      </c>
      <c r="B18" s="88"/>
      <c r="C18" s="88"/>
      <c r="D18" s="88"/>
      <c r="E18" s="88"/>
      <c r="F18" s="88"/>
      <c r="G18" s="88"/>
      <c r="I18" s="225" t="e">
        <f t="shared" ref="I18:K19" si="3">+E18/D18-1</f>
        <v>#DIV/0!</v>
      </c>
      <c r="J18" s="225" t="e">
        <f t="shared" si="3"/>
        <v>#DIV/0!</v>
      </c>
      <c r="K18" s="225" t="e">
        <f t="shared" si="3"/>
        <v>#DIV/0!</v>
      </c>
    </row>
    <row r="19" spans="1:11">
      <c r="A19" s="87" t="s">
        <v>359</v>
      </c>
      <c r="B19" s="88"/>
      <c r="C19" s="88"/>
      <c r="D19" s="88"/>
      <c r="E19" s="88"/>
      <c r="F19" s="88"/>
      <c r="G19" s="88"/>
      <c r="I19" s="225" t="e">
        <f t="shared" si="3"/>
        <v>#DIV/0!</v>
      </c>
      <c r="J19" s="225" t="e">
        <f t="shared" si="3"/>
        <v>#DIV/0!</v>
      </c>
      <c r="K19" s="237" t="e">
        <f t="shared" si="3"/>
        <v>#DIV/0!</v>
      </c>
    </row>
    <row r="20" spans="1:11">
      <c r="A20" s="87"/>
      <c r="B20" s="88"/>
      <c r="C20" s="88"/>
      <c r="D20" s="88"/>
      <c r="E20" s="88"/>
      <c r="F20" s="88"/>
      <c r="G20" s="88"/>
    </row>
    <row r="21" spans="1:11" ht="13">
      <c r="A21" s="275" t="s">
        <v>3</v>
      </c>
      <c r="B21" s="90">
        <f t="shared" ref="B21:G21" si="4">SUM(B11:B20)</f>
        <v>0</v>
      </c>
      <c r="C21" s="90">
        <f t="shared" si="4"/>
        <v>0</v>
      </c>
      <c r="D21" s="90">
        <f t="shared" si="4"/>
        <v>0</v>
      </c>
      <c r="E21" s="90">
        <f t="shared" si="4"/>
        <v>0</v>
      </c>
      <c r="F21" s="90">
        <f t="shared" si="4"/>
        <v>0</v>
      </c>
      <c r="G21" s="90">
        <f t="shared" si="4"/>
        <v>0</v>
      </c>
      <c r="I21" s="225" t="e">
        <f>+E21/D21-1</f>
        <v>#DIV/0!</v>
      </c>
      <c r="J21" s="225" t="e">
        <f>+F21/E21-1</f>
        <v>#DIV/0!</v>
      </c>
      <c r="K21" s="225" t="e">
        <f>+G21/F21-1</f>
        <v>#DIV/0!</v>
      </c>
    </row>
    <row r="22" spans="1:11">
      <c r="C22" s="85"/>
      <c r="D22" s="86"/>
      <c r="K22" s="224"/>
    </row>
    <row r="23" spans="1:11" ht="13">
      <c r="A23" s="275" t="s">
        <v>201</v>
      </c>
      <c r="B23" s="90"/>
      <c r="C23" s="90"/>
      <c r="D23" s="90"/>
      <c r="E23" s="90"/>
      <c r="F23" s="90"/>
      <c r="G23" s="90"/>
      <c r="H23" s="211"/>
      <c r="I23" s="225" t="e">
        <f>+E23/D23-1</f>
        <v>#DIV/0!</v>
      </c>
      <c r="J23" s="225" t="e">
        <f>+F23/E23-1</f>
        <v>#DIV/0!</v>
      </c>
      <c r="K23" s="225" t="e">
        <f>+G23/F23-1</f>
        <v>#DIV/0!</v>
      </c>
    </row>
    <row r="24" spans="1:11">
      <c r="A24" s="104"/>
      <c r="B24" s="88"/>
      <c r="C24" s="88"/>
      <c r="D24" s="88"/>
      <c r="E24" s="88"/>
      <c r="F24" s="88"/>
      <c r="G24" s="88"/>
    </row>
    <row r="25" spans="1:11" ht="13">
      <c r="A25" s="89" t="s">
        <v>325</v>
      </c>
      <c r="B25" s="91">
        <f>SUM(B26:B28)</f>
        <v>0</v>
      </c>
      <c r="C25" s="91"/>
      <c r="D25" s="91"/>
      <c r="E25" s="91"/>
      <c r="F25" s="91"/>
      <c r="G25" s="91"/>
      <c r="I25" s="225" t="e">
        <f t="shared" ref="I25:K31" si="5">+E25/D25-1</f>
        <v>#DIV/0!</v>
      </c>
      <c r="J25" s="225" t="e">
        <f t="shared" si="5"/>
        <v>#DIV/0!</v>
      </c>
      <c r="K25" s="225" t="e">
        <f t="shared" si="5"/>
        <v>#DIV/0!</v>
      </c>
    </row>
    <row r="26" spans="1:11">
      <c r="A26" s="87" t="s">
        <v>326</v>
      </c>
      <c r="B26" s="88"/>
      <c r="C26" s="88"/>
      <c r="D26" s="88"/>
      <c r="E26" s="88"/>
      <c r="F26" s="88"/>
      <c r="G26" s="88"/>
      <c r="I26" s="225" t="e">
        <f t="shared" si="5"/>
        <v>#DIV/0!</v>
      </c>
      <c r="J26" s="225" t="e">
        <f t="shared" si="5"/>
        <v>#DIV/0!</v>
      </c>
      <c r="K26" s="225" t="e">
        <f t="shared" si="5"/>
        <v>#DIV/0!</v>
      </c>
    </row>
    <row r="27" spans="1:11">
      <c r="A27" s="87" t="s">
        <v>334</v>
      </c>
      <c r="B27" s="88"/>
      <c r="C27" s="88"/>
      <c r="D27" s="88"/>
      <c r="E27" s="88"/>
      <c r="F27" s="88"/>
      <c r="G27" s="88"/>
      <c r="I27" s="225" t="e">
        <f t="shared" si="5"/>
        <v>#DIV/0!</v>
      </c>
      <c r="J27" s="225" t="e">
        <f t="shared" si="5"/>
        <v>#DIV/0!</v>
      </c>
      <c r="K27" s="225" t="e">
        <f t="shared" si="5"/>
        <v>#DIV/0!</v>
      </c>
    </row>
    <row r="28" spans="1:11">
      <c r="A28" s="87" t="s">
        <v>327</v>
      </c>
      <c r="B28" s="88"/>
      <c r="C28" s="88"/>
      <c r="D28" s="88"/>
      <c r="E28" s="88"/>
      <c r="F28" s="88"/>
      <c r="G28" s="88"/>
      <c r="I28" s="237" t="e">
        <f t="shared" si="5"/>
        <v>#DIV/0!</v>
      </c>
      <c r="J28" s="225" t="e">
        <f t="shared" si="5"/>
        <v>#DIV/0!</v>
      </c>
      <c r="K28" s="237" t="e">
        <f t="shared" si="5"/>
        <v>#DIV/0!</v>
      </c>
    </row>
    <row r="29" spans="1:11">
      <c r="A29" s="87" t="s">
        <v>329</v>
      </c>
      <c r="B29" s="88"/>
      <c r="C29" s="88"/>
      <c r="D29" s="88"/>
      <c r="E29" s="88"/>
      <c r="F29" s="88"/>
      <c r="G29" s="88"/>
      <c r="I29" s="225" t="e">
        <f t="shared" si="5"/>
        <v>#DIV/0!</v>
      </c>
      <c r="J29" s="225" t="e">
        <f t="shared" si="5"/>
        <v>#DIV/0!</v>
      </c>
      <c r="K29" s="225" t="e">
        <f t="shared" si="5"/>
        <v>#DIV/0!</v>
      </c>
    </row>
    <row r="30" spans="1:11" ht="13">
      <c r="A30" s="275" t="s">
        <v>328</v>
      </c>
      <c r="B30" s="90"/>
      <c r="C30" s="90">
        <f>SUM(C26:C29)</f>
        <v>0</v>
      </c>
      <c r="D30" s="90">
        <f>SUM(D26:D29)</f>
        <v>0</v>
      </c>
      <c r="E30" s="90">
        <f>SUM(E26:E29)</f>
        <v>0</v>
      </c>
      <c r="F30" s="90">
        <f>SUM(F26:F29)</f>
        <v>0</v>
      </c>
      <c r="G30" s="90">
        <f>SUM(G26:G29)</f>
        <v>0</v>
      </c>
      <c r="H30" s="211"/>
      <c r="I30" s="225" t="e">
        <f t="shared" si="5"/>
        <v>#DIV/0!</v>
      </c>
      <c r="J30" s="225" t="e">
        <f t="shared" si="5"/>
        <v>#DIV/0!</v>
      </c>
      <c r="K30" s="225" t="e">
        <f t="shared" si="5"/>
        <v>#DIV/0!</v>
      </c>
    </row>
    <row r="31" spans="1:11" ht="13">
      <c r="A31" s="275" t="s">
        <v>4</v>
      </c>
      <c r="B31" s="90">
        <f>+B21+B23+B25</f>
        <v>0</v>
      </c>
      <c r="C31" s="90">
        <f>+C21+C23+C30</f>
        <v>0</v>
      </c>
      <c r="D31" s="90">
        <f>+D21+D23+D30</f>
        <v>0</v>
      </c>
      <c r="E31" s="90">
        <f>+E21+E23+E30</f>
        <v>0</v>
      </c>
      <c r="F31" s="90">
        <f>+F21+F23+F30</f>
        <v>0</v>
      </c>
      <c r="G31" s="90">
        <f>+G21+G23+G30</f>
        <v>0</v>
      </c>
      <c r="I31" s="225" t="e">
        <f t="shared" si="5"/>
        <v>#DIV/0!</v>
      </c>
      <c r="J31" s="225" t="e">
        <f t="shared" si="5"/>
        <v>#DIV/0!</v>
      </c>
      <c r="K31" s="225" t="e">
        <f t="shared" si="5"/>
        <v>#DIV/0!</v>
      </c>
    </row>
    <row r="32" spans="1:11" ht="13">
      <c r="A32" s="180"/>
      <c r="B32" s="180"/>
      <c r="C32" s="180"/>
    </row>
    <row r="33" spans="1:11" ht="13">
      <c r="A33" s="89"/>
      <c r="B33" s="86"/>
      <c r="E33" s="86"/>
      <c r="F33" s="86"/>
      <c r="G33" s="86"/>
    </row>
    <row r="34" spans="1:11">
      <c r="A34" s="274" t="s">
        <v>320</v>
      </c>
      <c r="B34" s="88"/>
      <c r="C34" s="88"/>
      <c r="D34" s="88"/>
      <c r="E34" s="88"/>
      <c r="F34" s="88"/>
      <c r="G34" s="88"/>
    </row>
    <row r="35" spans="1:11">
      <c r="A35" s="274" t="s">
        <v>316</v>
      </c>
      <c r="B35" s="88"/>
      <c r="C35" s="88"/>
      <c r="D35" s="88"/>
      <c r="E35" s="88"/>
      <c r="F35" s="88"/>
      <c r="G35" s="88"/>
      <c r="I35" s="225" t="e">
        <f t="shared" ref="I35:K37" si="6">+E35/D35-1</f>
        <v>#DIV/0!</v>
      </c>
      <c r="J35" s="225" t="e">
        <f t="shared" si="6"/>
        <v>#DIV/0!</v>
      </c>
      <c r="K35" s="225" t="e">
        <f t="shared" si="6"/>
        <v>#DIV/0!</v>
      </c>
    </row>
    <row r="36" spans="1:11">
      <c r="A36" s="274" t="s">
        <v>317</v>
      </c>
      <c r="B36" s="88"/>
      <c r="C36" s="88"/>
      <c r="D36" s="88"/>
      <c r="E36" s="88"/>
      <c r="F36" s="88"/>
      <c r="G36" s="88"/>
      <c r="I36" s="225" t="e">
        <f t="shared" si="6"/>
        <v>#DIV/0!</v>
      </c>
      <c r="J36" s="225" t="e">
        <f t="shared" si="6"/>
        <v>#DIV/0!</v>
      </c>
      <c r="K36" s="225" t="e">
        <f t="shared" si="6"/>
        <v>#DIV/0!</v>
      </c>
    </row>
    <row r="37" spans="1:11">
      <c r="A37" s="87" t="s">
        <v>338</v>
      </c>
      <c r="B37" s="88"/>
      <c r="C37" s="88"/>
      <c r="D37" s="88"/>
      <c r="E37" s="88"/>
      <c r="F37" s="88"/>
      <c r="G37" s="88"/>
      <c r="I37" s="225" t="e">
        <f t="shared" si="6"/>
        <v>#DIV/0!</v>
      </c>
      <c r="J37" s="225" t="e">
        <f t="shared" si="6"/>
        <v>#DIV/0!</v>
      </c>
      <c r="K37" s="225" t="e">
        <f t="shared" si="6"/>
        <v>#DIV/0!</v>
      </c>
    </row>
    <row r="38" spans="1:11">
      <c r="A38" s="87" t="s">
        <v>342</v>
      </c>
      <c r="B38" s="88"/>
      <c r="C38" s="88"/>
      <c r="D38" s="88"/>
      <c r="E38" s="88"/>
      <c r="F38" s="88"/>
      <c r="G38" s="88"/>
      <c r="I38" s="225" t="e">
        <f t="shared" ref="I38:I41" si="7">+E38/D38-1</f>
        <v>#DIV/0!</v>
      </c>
      <c r="J38" s="225" t="e">
        <f t="shared" ref="J38:K40" si="8">+F38/E38-1</f>
        <v>#DIV/0!</v>
      </c>
      <c r="K38" s="225" t="e">
        <f t="shared" si="8"/>
        <v>#DIV/0!</v>
      </c>
    </row>
    <row r="39" spans="1:11">
      <c r="A39" s="87" t="s">
        <v>302</v>
      </c>
      <c r="B39" s="88"/>
      <c r="C39" s="88"/>
      <c r="D39" s="88"/>
      <c r="E39" s="88"/>
      <c r="F39" s="88"/>
      <c r="G39" s="88"/>
      <c r="I39" s="225" t="e">
        <f t="shared" si="7"/>
        <v>#DIV/0!</v>
      </c>
      <c r="J39" s="225" t="e">
        <f t="shared" si="8"/>
        <v>#DIV/0!</v>
      </c>
      <c r="K39" s="225" t="e">
        <f t="shared" si="8"/>
        <v>#DIV/0!</v>
      </c>
    </row>
    <row r="40" spans="1:11">
      <c r="A40" s="87" t="s">
        <v>336</v>
      </c>
      <c r="B40" s="88"/>
      <c r="C40" s="88"/>
      <c r="D40" s="88"/>
      <c r="E40" s="88"/>
      <c r="F40" s="88"/>
      <c r="G40" s="88"/>
      <c r="I40" s="225" t="e">
        <f t="shared" si="7"/>
        <v>#DIV/0!</v>
      </c>
      <c r="J40" s="225" t="e">
        <f t="shared" si="8"/>
        <v>#DIV/0!</v>
      </c>
      <c r="K40" s="225" t="e">
        <f t="shared" si="8"/>
        <v>#DIV/0!</v>
      </c>
    </row>
    <row r="41" spans="1:11">
      <c r="A41" s="87" t="s">
        <v>333</v>
      </c>
      <c r="B41" s="207"/>
      <c r="C41" s="207"/>
      <c r="D41" s="88"/>
      <c r="E41" s="88"/>
      <c r="F41" s="88"/>
      <c r="G41" s="88"/>
      <c r="I41" s="225" t="e">
        <f t="shared" si="7"/>
        <v>#DIV/0!</v>
      </c>
      <c r="J41" s="237" t="e">
        <f>+F41/E41-1</f>
        <v>#DIV/0!</v>
      </c>
      <c r="K41" s="237" t="e">
        <f>+G41/F41-1</f>
        <v>#DIV/0!</v>
      </c>
    </row>
    <row r="42" spans="1:11" ht="13">
      <c r="A42" s="275" t="s">
        <v>5</v>
      </c>
      <c r="B42" s="90">
        <f t="shared" ref="B42:G42" si="9">SUM(B34:B41)</f>
        <v>0</v>
      </c>
      <c r="C42" s="90">
        <f t="shared" si="9"/>
        <v>0</v>
      </c>
      <c r="D42" s="90">
        <f t="shared" si="9"/>
        <v>0</v>
      </c>
      <c r="E42" s="90">
        <f t="shared" si="9"/>
        <v>0</v>
      </c>
      <c r="F42" s="90">
        <f t="shared" si="9"/>
        <v>0</v>
      </c>
      <c r="G42" s="90">
        <f t="shared" si="9"/>
        <v>0</v>
      </c>
      <c r="I42" s="225" t="e">
        <f>+E42/D42-1</f>
        <v>#DIV/0!</v>
      </c>
      <c r="J42" s="225" t="e">
        <f>+F42/E42-1</f>
        <v>#DIV/0!</v>
      </c>
      <c r="K42" s="225" t="e">
        <f>+G42/F42-1</f>
        <v>#DIV/0!</v>
      </c>
    </row>
    <row r="43" spans="1:11">
      <c r="A43" s="87"/>
      <c r="B43" s="88"/>
      <c r="C43" s="88"/>
      <c r="D43" s="88"/>
      <c r="E43" s="88"/>
      <c r="F43" s="88"/>
      <c r="G43" s="88"/>
      <c r="I43" s="225"/>
      <c r="J43" s="225"/>
      <c r="K43" s="225"/>
    </row>
    <row r="44" spans="1:11">
      <c r="A44" s="274" t="s">
        <v>318</v>
      </c>
      <c r="B44" s="88"/>
      <c r="C44" s="88"/>
      <c r="D44" s="88"/>
      <c r="E44" s="88"/>
      <c r="F44" s="88"/>
      <c r="G44" s="88"/>
      <c r="I44" s="225" t="e">
        <f>+E44/D44-1</f>
        <v>#DIV/0!</v>
      </c>
      <c r="J44" s="225" t="e">
        <f>+F44/E44-1</f>
        <v>#DIV/0!</v>
      </c>
      <c r="K44" s="225" t="e">
        <f>+G44/F44-1</f>
        <v>#DIV/0!</v>
      </c>
    </row>
    <row r="45" spans="1:11" ht="13">
      <c r="A45" s="89"/>
      <c r="B45" s="90"/>
      <c r="C45" s="90"/>
      <c r="D45" s="90"/>
      <c r="E45" s="90"/>
      <c r="F45" s="90"/>
      <c r="G45" s="90"/>
      <c r="K45" s="224"/>
    </row>
    <row r="46" spans="1:11" ht="13">
      <c r="A46" s="275" t="s">
        <v>303</v>
      </c>
      <c r="B46" s="90">
        <f t="shared" ref="B46:G46" si="10">SUM(B43:B44)</f>
        <v>0</v>
      </c>
      <c r="C46" s="90">
        <f t="shared" si="10"/>
        <v>0</v>
      </c>
      <c r="D46" s="90">
        <f t="shared" si="10"/>
        <v>0</v>
      </c>
      <c r="E46" s="90">
        <f t="shared" si="10"/>
        <v>0</v>
      </c>
      <c r="F46" s="90">
        <f t="shared" si="10"/>
        <v>0</v>
      </c>
      <c r="G46" s="90">
        <f t="shared" si="10"/>
        <v>0</v>
      </c>
      <c r="I46" s="225" t="e">
        <f>+E46/D46-1</f>
        <v>#DIV/0!</v>
      </c>
      <c r="J46" s="225" t="e">
        <f>+F46/E46-1</f>
        <v>#DIV/0!</v>
      </c>
      <c r="K46" s="225" t="e">
        <f>+G46/F46-1</f>
        <v>#DIV/0!</v>
      </c>
    </row>
    <row r="47" spans="1:11" ht="13">
      <c r="A47" s="89"/>
      <c r="B47" s="90"/>
      <c r="C47" s="90"/>
      <c r="D47" s="90"/>
      <c r="E47" s="90"/>
      <c r="F47" s="90"/>
      <c r="G47" s="90"/>
    </row>
    <row r="48" spans="1:11" ht="13" hidden="1" outlineLevel="1">
      <c r="A48" s="87"/>
      <c r="B48" s="88"/>
      <c r="C48" s="88"/>
      <c r="D48" s="90"/>
      <c r="E48" s="90"/>
      <c r="F48" s="90"/>
      <c r="G48" s="90"/>
    </row>
    <row r="49" spans="1:11" hidden="1" outlineLevel="1">
      <c r="A49" s="87"/>
      <c r="B49" s="88"/>
      <c r="C49" s="88"/>
      <c r="D49" s="88"/>
      <c r="E49" s="88"/>
      <c r="F49" s="88"/>
      <c r="G49" s="88"/>
    </row>
    <row r="50" spans="1:11" ht="13" hidden="1" outlineLevel="1">
      <c r="A50" s="87"/>
      <c r="B50" s="88"/>
      <c r="C50" s="88"/>
      <c r="D50" s="90"/>
      <c r="E50" s="90"/>
      <c r="F50" s="90"/>
      <c r="G50" s="90"/>
    </row>
    <row r="51" spans="1:11" ht="15" hidden="1" customHeight="1" outlineLevel="1">
      <c r="A51" s="87"/>
      <c r="B51" s="88"/>
      <c r="C51" s="88"/>
      <c r="D51" s="88"/>
      <c r="E51" s="88"/>
      <c r="F51" s="88"/>
      <c r="G51" s="88"/>
    </row>
    <row r="52" spans="1:11" ht="13" collapsed="1">
      <c r="A52" s="275" t="s">
        <v>304</v>
      </c>
      <c r="B52" s="90">
        <f t="shared" ref="B52:G52" si="11">SUM(B48:B50)</f>
        <v>0</v>
      </c>
      <c r="C52" s="90">
        <f t="shared" si="11"/>
        <v>0</v>
      </c>
      <c r="D52" s="90">
        <f t="shared" si="11"/>
        <v>0</v>
      </c>
      <c r="E52" s="90">
        <f t="shared" si="11"/>
        <v>0</v>
      </c>
      <c r="F52" s="90">
        <f t="shared" si="11"/>
        <v>0</v>
      </c>
      <c r="G52" s="90">
        <f t="shared" si="11"/>
        <v>0</v>
      </c>
      <c r="I52" s="225" t="e">
        <f>+E52/D52-1</f>
        <v>#DIV/0!</v>
      </c>
      <c r="J52" s="225" t="e">
        <f>+F52/E52-1</f>
        <v>#DIV/0!</v>
      </c>
      <c r="K52" s="225" t="e">
        <f>+G52/F52-1</f>
        <v>#DIV/0!</v>
      </c>
    </row>
    <row r="53" spans="1:11">
      <c r="A53" s="87"/>
      <c r="B53" s="88"/>
      <c r="C53" s="88"/>
      <c r="D53" s="88"/>
      <c r="E53" s="88"/>
      <c r="F53" s="88"/>
      <c r="G53" s="88"/>
    </row>
    <row r="54" spans="1:11" ht="13">
      <c r="A54" s="89" t="s">
        <v>6</v>
      </c>
      <c r="B54" s="91">
        <f t="shared" ref="B54:G54" si="12">+B42+B46+B52</f>
        <v>0</v>
      </c>
      <c r="C54" s="91">
        <f t="shared" si="12"/>
        <v>0</v>
      </c>
      <c r="D54" s="91">
        <f t="shared" si="12"/>
        <v>0</v>
      </c>
      <c r="E54" s="91">
        <f t="shared" si="12"/>
        <v>0</v>
      </c>
      <c r="F54" s="91">
        <f t="shared" si="12"/>
        <v>0</v>
      </c>
      <c r="G54" s="91">
        <f t="shared" si="12"/>
        <v>0</v>
      </c>
      <c r="I54" s="225" t="e">
        <f>+E54/D54-1</f>
        <v>#DIV/0!</v>
      </c>
      <c r="J54" s="225" t="e">
        <f>+F54/E54-1</f>
        <v>#DIV/0!</v>
      </c>
      <c r="K54" s="225" t="e">
        <f>+G54/F54-1</f>
        <v>#DIV/0!</v>
      </c>
    </row>
    <row r="55" spans="1:11">
      <c r="A55" s="87" t="s">
        <v>7</v>
      </c>
      <c r="B55" s="87"/>
      <c r="C55" s="87"/>
      <c r="D55" s="86"/>
    </row>
    <row r="56" spans="1:11">
      <c r="A56" s="274" t="s">
        <v>8</v>
      </c>
      <c r="B56" s="93"/>
      <c r="C56" s="105"/>
      <c r="D56" s="105"/>
      <c r="E56" s="105"/>
      <c r="F56" s="105"/>
      <c r="G56" s="105"/>
      <c r="I56" s="225" t="e">
        <f t="shared" ref="I56:K59" si="13">+E56/D56-1</f>
        <v>#DIV/0!</v>
      </c>
      <c r="J56" s="225" t="e">
        <f t="shared" si="13"/>
        <v>#DIV/0!</v>
      </c>
      <c r="K56" s="225" t="e">
        <f t="shared" si="13"/>
        <v>#DIV/0!</v>
      </c>
    </row>
    <row r="57" spans="1:11">
      <c r="A57" s="87" t="s">
        <v>335</v>
      </c>
      <c r="B57" s="93"/>
      <c r="C57" s="93"/>
      <c r="D57" s="93"/>
      <c r="E57" s="93"/>
      <c r="F57" s="93"/>
      <c r="G57" s="93"/>
      <c r="I57" s="225" t="e">
        <f t="shared" si="13"/>
        <v>#DIV/0!</v>
      </c>
      <c r="J57" s="225" t="e">
        <f t="shared" si="13"/>
        <v>#DIV/0!</v>
      </c>
      <c r="K57" s="225" t="e">
        <f t="shared" si="13"/>
        <v>#DIV/0!</v>
      </c>
    </row>
    <row r="58" spans="1:11">
      <c r="A58" s="87" t="s">
        <v>319</v>
      </c>
      <c r="B58" s="93"/>
      <c r="C58" s="93"/>
      <c r="D58" s="93"/>
      <c r="E58" s="93"/>
      <c r="F58" s="93"/>
      <c r="G58" s="93"/>
      <c r="I58" s="225" t="e">
        <f t="shared" si="13"/>
        <v>#DIV/0!</v>
      </c>
      <c r="J58" s="225" t="e">
        <f t="shared" si="13"/>
        <v>#DIV/0!</v>
      </c>
      <c r="K58" s="225" t="e">
        <f t="shared" si="13"/>
        <v>#DIV/0!</v>
      </c>
    </row>
    <row r="59" spans="1:11">
      <c r="A59" s="87" t="s">
        <v>332</v>
      </c>
      <c r="B59" s="93"/>
      <c r="C59" s="93"/>
      <c r="D59" s="93"/>
      <c r="E59" s="93"/>
      <c r="F59" s="93"/>
      <c r="G59" s="93"/>
      <c r="I59" s="225" t="e">
        <f t="shared" si="13"/>
        <v>#DIV/0!</v>
      </c>
      <c r="J59" s="225" t="e">
        <f t="shared" si="13"/>
        <v>#DIV/0!</v>
      </c>
      <c r="K59" s="225" t="e">
        <f t="shared" si="13"/>
        <v>#DIV/0!</v>
      </c>
    </row>
    <row r="60" spans="1:11">
      <c r="A60" s="274" t="s">
        <v>202</v>
      </c>
      <c r="B60" s="94"/>
      <c r="C60" s="94"/>
      <c r="D60" s="93"/>
      <c r="E60" s="94"/>
      <c r="F60" s="94"/>
      <c r="G60" s="94"/>
      <c r="I60" s="225" t="e">
        <f t="shared" ref="I60:K63" si="14">+E60/D60-1</f>
        <v>#DIV/0!</v>
      </c>
      <c r="J60" s="225" t="e">
        <f>+F60/E60-1</f>
        <v>#DIV/0!</v>
      </c>
      <c r="K60" s="225" t="e">
        <f>+G60/F60-1</f>
        <v>#DIV/0!</v>
      </c>
    </row>
    <row r="61" spans="1:11">
      <c r="A61" s="274" t="s">
        <v>198</v>
      </c>
      <c r="B61" s="94">
        <f>+ER!B35</f>
        <v>0</v>
      </c>
      <c r="C61" s="94"/>
      <c r="D61" s="94"/>
      <c r="E61" s="94"/>
      <c r="F61" s="94"/>
      <c r="G61" s="94"/>
      <c r="I61" s="225" t="e">
        <f t="shared" si="14"/>
        <v>#DIV/0!</v>
      </c>
      <c r="J61" s="225" t="e">
        <f t="shared" si="14"/>
        <v>#DIV/0!</v>
      </c>
      <c r="K61" s="225" t="e">
        <f t="shared" si="14"/>
        <v>#DIV/0!</v>
      </c>
    </row>
    <row r="62" spans="1:11" ht="13">
      <c r="A62" s="275" t="s">
        <v>9</v>
      </c>
      <c r="B62" s="90">
        <f t="shared" ref="B62:G62" si="15">SUM(B56:B61)</f>
        <v>0</v>
      </c>
      <c r="C62" s="90">
        <f t="shared" si="15"/>
        <v>0</v>
      </c>
      <c r="D62" s="91">
        <f t="shared" si="15"/>
        <v>0</v>
      </c>
      <c r="E62" s="92">
        <f t="shared" si="15"/>
        <v>0</v>
      </c>
      <c r="F62" s="92">
        <f t="shared" si="15"/>
        <v>0</v>
      </c>
      <c r="G62" s="92">
        <f t="shared" si="15"/>
        <v>0</v>
      </c>
      <c r="I62" s="225" t="e">
        <f t="shared" si="14"/>
        <v>#DIV/0!</v>
      </c>
      <c r="J62" s="225" t="e">
        <f t="shared" si="14"/>
        <v>#DIV/0!</v>
      </c>
      <c r="K62" s="225" t="e">
        <f t="shared" si="14"/>
        <v>#DIV/0!</v>
      </c>
    </row>
    <row r="63" spans="1:11" ht="13">
      <c r="A63" s="275" t="s">
        <v>10</v>
      </c>
      <c r="B63" s="90">
        <f>B54+B62</f>
        <v>0</v>
      </c>
      <c r="C63" s="90">
        <f>C54+C62</f>
        <v>0</v>
      </c>
      <c r="D63" s="91">
        <f>D54+D62</f>
        <v>0</v>
      </c>
      <c r="E63" s="92">
        <f>SUM(E54,E62)</f>
        <v>0</v>
      </c>
      <c r="F63" s="92">
        <f>SUM(F54,F62)</f>
        <v>0</v>
      </c>
      <c r="G63" s="92">
        <f>SUM(G54,G62)</f>
        <v>0</v>
      </c>
      <c r="I63" s="225" t="e">
        <f t="shared" si="14"/>
        <v>#DIV/0!</v>
      </c>
      <c r="J63" s="225" t="e">
        <f t="shared" si="14"/>
        <v>#DIV/0!</v>
      </c>
      <c r="K63" s="225" t="e">
        <f t="shared" si="14"/>
        <v>#DIV/0!</v>
      </c>
    </row>
    <row r="64" spans="1:11">
      <c r="A64" s="86"/>
      <c r="B64" s="86"/>
    </row>
    <row r="65" spans="1:7">
      <c r="A65" s="86"/>
      <c r="B65" s="96">
        <f t="shared" ref="B65:G65" si="16">+B31-B63</f>
        <v>0</v>
      </c>
      <c r="C65" s="96">
        <f t="shared" si="16"/>
        <v>0</v>
      </c>
      <c r="D65" s="96">
        <f t="shared" si="16"/>
        <v>0</v>
      </c>
      <c r="E65" s="96">
        <f t="shared" si="16"/>
        <v>0</v>
      </c>
      <c r="F65" s="96">
        <f t="shared" si="16"/>
        <v>0</v>
      </c>
      <c r="G65" s="96">
        <f t="shared" si="16"/>
        <v>0</v>
      </c>
    </row>
    <row r="66" spans="1:7">
      <c r="A66" s="86"/>
      <c r="B66" s="97"/>
      <c r="C66" s="97"/>
    </row>
    <row r="67" spans="1:7">
      <c r="A67" s="86"/>
      <c r="B67" s="86"/>
      <c r="C67" s="222">
        <f>+C60+C61</f>
        <v>0</v>
      </c>
      <c r="D67" s="211">
        <f>+D60+D61</f>
        <v>0</v>
      </c>
      <c r="E67" s="223">
        <f>+E60+E61</f>
        <v>0</v>
      </c>
      <c r="F67" s="223">
        <f>+F60+F61</f>
        <v>0</v>
      </c>
      <c r="G67" s="223"/>
    </row>
    <row r="68" spans="1:7">
      <c r="A68" s="86"/>
      <c r="B68" s="98"/>
      <c r="C68" s="98"/>
      <c r="D68" s="98"/>
    </row>
    <row r="69" spans="1:7">
      <c r="A69" s="86"/>
      <c r="B69" s="86"/>
      <c r="C69" s="97"/>
      <c r="D69" s="97"/>
    </row>
    <row r="70" spans="1:7">
      <c r="A70" s="86"/>
      <c r="B70" s="86"/>
    </row>
    <row r="71" spans="1:7">
      <c r="A71" s="86"/>
      <c r="B71" s="86"/>
    </row>
    <row r="72" spans="1:7">
      <c r="A72" s="86"/>
      <c r="B72" s="86"/>
    </row>
    <row r="73" spans="1:7">
      <c r="A73" s="86"/>
      <c r="B73" s="86"/>
      <c r="D73" s="86"/>
    </row>
    <row r="74" spans="1:7">
      <c r="A74" s="86"/>
      <c r="B74" s="86"/>
      <c r="D74" s="86"/>
    </row>
    <row r="75" spans="1:7">
      <c r="A75" s="86"/>
      <c r="B75" s="86"/>
      <c r="D75" s="86"/>
    </row>
    <row r="76" spans="1:7">
      <c r="A76" s="86"/>
      <c r="B76" s="86"/>
      <c r="D76" s="86"/>
    </row>
    <row r="77" spans="1:7">
      <c r="A77" s="86"/>
      <c r="B77" s="86"/>
      <c r="D77" s="86"/>
    </row>
    <row r="78" spans="1:7">
      <c r="A78" s="86"/>
      <c r="B78" s="86"/>
      <c r="D78" s="86"/>
    </row>
    <row r="79" spans="1:7">
      <c r="A79" s="86"/>
      <c r="B79" s="86"/>
      <c r="D79" s="86"/>
    </row>
    <row r="80" spans="1:7">
      <c r="A80" s="86"/>
      <c r="B80" s="86"/>
      <c r="D80" s="86"/>
    </row>
    <row r="81" spans="1:2">
      <c r="A81" s="86"/>
      <c r="B81" s="86"/>
    </row>
    <row r="82" spans="1:2">
      <c r="A82" s="86"/>
      <c r="B82" s="86"/>
    </row>
    <row r="83" spans="1:2">
      <c r="A83" s="86"/>
      <c r="B83" s="86"/>
    </row>
    <row r="84" spans="1:2">
      <c r="A84" s="86"/>
      <c r="B84" s="86"/>
    </row>
    <row r="85" spans="1:2">
      <c r="A85" s="86"/>
      <c r="B85" s="86"/>
    </row>
    <row r="86" spans="1:2">
      <c r="A86" s="86"/>
      <c r="B86" s="86"/>
    </row>
    <row r="87" spans="1:2">
      <c r="A87" s="86"/>
      <c r="B87" s="86"/>
    </row>
    <row r="88" spans="1:2">
      <c r="A88" s="86"/>
      <c r="B88" s="86"/>
    </row>
    <row r="89" spans="1:2">
      <c r="A89" s="86"/>
      <c r="B89" s="86"/>
    </row>
    <row r="90" spans="1:2">
      <c r="A90" s="86"/>
      <c r="B90" s="86"/>
    </row>
    <row r="91" spans="1:2">
      <c r="A91" s="86"/>
      <c r="B91" s="86"/>
    </row>
    <row r="92" spans="1:2">
      <c r="A92" s="86"/>
      <c r="B92" s="86"/>
    </row>
    <row r="93" spans="1:2">
      <c r="A93" s="86"/>
      <c r="B93" s="86"/>
    </row>
    <row r="94" spans="1:2">
      <c r="A94" s="86"/>
      <c r="B94" s="86"/>
    </row>
    <row r="95" spans="1:2">
      <c r="A95" s="86"/>
      <c r="B95" s="86"/>
    </row>
    <row r="96" spans="1:2">
      <c r="A96" s="86"/>
      <c r="B96" s="86"/>
    </row>
    <row r="97" spans="1:2">
      <c r="A97" s="86"/>
      <c r="B97" s="86"/>
    </row>
    <row r="98" spans="1:2">
      <c r="A98" s="86"/>
      <c r="B98" s="86"/>
    </row>
    <row r="99" spans="1:2">
      <c r="A99" s="86"/>
      <c r="B99" s="86"/>
    </row>
    <row r="100" spans="1:2">
      <c r="A100" s="86"/>
      <c r="B100" s="86"/>
    </row>
    <row r="101" spans="1:2">
      <c r="A101" s="86"/>
      <c r="B101" s="86"/>
    </row>
    <row r="102" spans="1:2">
      <c r="A102" s="86"/>
      <c r="B102" s="86"/>
    </row>
    <row r="103" spans="1:2">
      <c r="A103" s="86"/>
      <c r="B103" s="86"/>
    </row>
    <row r="104" spans="1:2">
      <c r="A104" s="86"/>
      <c r="B104" s="86"/>
    </row>
    <row r="105" spans="1:2">
      <c r="A105" s="86"/>
      <c r="B105" s="86"/>
    </row>
    <row r="106" spans="1:2">
      <c r="A106" s="86"/>
      <c r="B106" s="86"/>
    </row>
    <row r="107" spans="1:2">
      <c r="A107" s="86"/>
      <c r="B107" s="86"/>
    </row>
    <row r="108" spans="1:2">
      <c r="A108" s="86"/>
      <c r="B108" s="86"/>
    </row>
    <row r="109" spans="1:2">
      <c r="A109" s="86"/>
      <c r="B109" s="86"/>
    </row>
    <row r="110" spans="1:2">
      <c r="A110" s="86"/>
      <c r="B110" s="86"/>
    </row>
    <row r="111" spans="1:2">
      <c r="A111" s="86"/>
      <c r="B111" s="86"/>
    </row>
    <row r="112" spans="1:2">
      <c r="A112" s="86"/>
      <c r="B112" s="86"/>
    </row>
    <row r="113" spans="1:2">
      <c r="A113" s="86"/>
      <c r="B113" s="86"/>
    </row>
    <row r="114" spans="1:2">
      <c r="A114" s="86"/>
      <c r="B114" s="86"/>
    </row>
    <row r="115" spans="1:2">
      <c r="A115" s="86"/>
      <c r="B115" s="86"/>
    </row>
    <row r="116" spans="1:2">
      <c r="A116" s="86"/>
      <c r="B116" s="86"/>
    </row>
    <row r="117" spans="1:2">
      <c r="A117" s="86"/>
      <c r="B117" s="86"/>
    </row>
    <row r="118" spans="1:2">
      <c r="A118" s="86"/>
      <c r="B118" s="86"/>
    </row>
    <row r="119" spans="1:2">
      <c r="A119" s="86"/>
      <c r="B119" s="86"/>
    </row>
    <row r="120" spans="1:2">
      <c r="A120" s="86"/>
      <c r="B120" s="86"/>
    </row>
    <row r="121" spans="1:2">
      <c r="A121" s="86"/>
      <c r="B121" s="86"/>
    </row>
    <row r="122" spans="1:2">
      <c r="A122" s="86"/>
      <c r="B122" s="86"/>
    </row>
    <row r="123" spans="1:2">
      <c r="A123" s="86"/>
      <c r="B123" s="86"/>
    </row>
    <row r="124" spans="1:2">
      <c r="A124" s="86"/>
      <c r="B124" s="86"/>
    </row>
    <row r="125" spans="1:2">
      <c r="A125" s="86"/>
      <c r="B125" s="86"/>
    </row>
    <row r="126" spans="1:2">
      <c r="A126" s="86"/>
      <c r="B126" s="86"/>
    </row>
    <row r="127" spans="1:2">
      <c r="A127" s="86"/>
      <c r="B127" s="86"/>
    </row>
    <row r="128" spans="1:2">
      <c r="A128" s="86"/>
      <c r="B128" s="86"/>
    </row>
    <row r="129" spans="1:2">
      <c r="A129" s="86"/>
      <c r="B129" s="86"/>
    </row>
    <row r="130" spans="1:2">
      <c r="A130" s="86"/>
      <c r="B130" s="86"/>
    </row>
    <row r="131" spans="1:2">
      <c r="A131" s="86"/>
      <c r="B131" s="86"/>
    </row>
    <row r="132" spans="1:2">
      <c r="A132" s="86"/>
      <c r="B132" s="86"/>
    </row>
    <row r="133" spans="1:2">
      <c r="A133" s="86"/>
      <c r="B133" s="86"/>
    </row>
    <row r="134" spans="1:2">
      <c r="A134" s="86"/>
      <c r="B134" s="86"/>
    </row>
    <row r="135" spans="1:2">
      <c r="A135" s="86"/>
      <c r="B135" s="86"/>
    </row>
    <row r="136" spans="1:2">
      <c r="A136" s="86"/>
      <c r="B136" s="86"/>
    </row>
    <row r="137" spans="1:2">
      <c r="A137" s="86"/>
      <c r="B137" s="86"/>
    </row>
    <row r="138" spans="1:2">
      <c r="A138" s="86"/>
      <c r="B138" s="86"/>
    </row>
    <row r="139" spans="1:2">
      <c r="A139" s="86"/>
      <c r="B139" s="86"/>
    </row>
    <row r="140" spans="1:2">
      <c r="A140" s="86"/>
      <c r="B140" s="86"/>
    </row>
    <row r="141" spans="1:2">
      <c r="A141" s="86"/>
      <c r="B141" s="86"/>
    </row>
    <row r="142" spans="1:2">
      <c r="A142" s="86"/>
      <c r="B142" s="86"/>
    </row>
    <row r="143" spans="1:2">
      <c r="A143" s="86"/>
      <c r="B143" s="86"/>
    </row>
    <row r="144" spans="1:2">
      <c r="A144" s="86"/>
      <c r="B144" s="86"/>
    </row>
    <row r="145" spans="1:2">
      <c r="A145" s="86"/>
      <c r="B145" s="86"/>
    </row>
    <row r="146" spans="1:2">
      <c r="A146" s="86"/>
      <c r="B146" s="86"/>
    </row>
    <row r="147" spans="1:2">
      <c r="A147" s="86"/>
      <c r="B147" s="86"/>
    </row>
    <row r="148" spans="1:2">
      <c r="A148" s="86"/>
      <c r="B148" s="86"/>
    </row>
    <row r="149" spans="1:2">
      <c r="A149" s="86"/>
      <c r="B149" s="86"/>
    </row>
    <row r="150" spans="1:2">
      <c r="A150" s="86"/>
      <c r="B150" s="86"/>
    </row>
    <row r="151" spans="1:2">
      <c r="A151" s="86"/>
      <c r="B151" s="86"/>
    </row>
    <row r="152" spans="1:2">
      <c r="A152" s="86"/>
      <c r="B152" s="86"/>
    </row>
    <row r="153" spans="1:2">
      <c r="A153" s="86"/>
      <c r="B153" s="86"/>
    </row>
    <row r="154" spans="1:2">
      <c r="A154" s="86"/>
      <c r="B154" s="86"/>
    </row>
    <row r="155" spans="1:2">
      <c r="A155" s="86"/>
      <c r="B155" s="86"/>
    </row>
    <row r="156" spans="1:2">
      <c r="A156" s="86"/>
      <c r="B156" s="86"/>
    </row>
    <row r="157" spans="1:2">
      <c r="A157" s="86"/>
      <c r="B157" s="86"/>
    </row>
  </sheetData>
  <phoneticPr fontId="5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367A-1BD3-6B4B-8286-0BA9A399DBAF}">
  <sheetPr codeName="Hoja2"/>
  <dimension ref="A1:V173"/>
  <sheetViews>
    <sheetView topLeftCell="A17" zoomScale="90" zoomScaleNormal="90" workbookViewId="0">
      <pane xSplit="1" topLeftCell="D1" activePane="topRight" state="frozen"/>
      <selection pane="topRight" activeCell="I10" sqref="I10"/>
    </sheetView>
  </sheetViews>
  <sheetFormatPr baseColWidth="10" defaultColWidth="11.453125" defaultRowHeight="13" outlineLevelCol="1"/>
  <cols>
    <col min="1" max="1" width="41.26953125" style="85" customWidth="1"/>
    <col min="2" max="2" width="12.26953125" style="101" hidden="1" customWidth="1" outlineLevel="1"/>
    <col min="3" max="3" width="12.81640625" style="101" hidden="1" customWidth="1" outlineLevel="1" collapsed="1"/>
    <col min="4" max="4" width="12.81640625" style="101" bestFit="1" customWidth="1" collapsed="1"/>
    <col min="5" max="5" width="12" style="86" bestFit="1" customWidth="1"/>
    <col min="6" max="7" width="12" style="86" customWidth="1"/>
    <col min="8" max="8" width="4.81640625" style="86" customWidth="1"/>
    <col min="9" max="11" width="12" style="86" customWidth="1"/>
    <col min="12" max="12" width="15.1796875" style="86" customWidth="1"/>
    <col min="13" max="22" width="11.453125" style="86"/>
    <col min="23" max="16384" width="11.453125" style="85"/>
  </cols>
  <sheetData>
    <row r="1" spans="1:20" s="86" customFormat="1" ht="12.5"/>
    <row r="2" spans="1:20" s="86" customFormat="1" ht="12.5"/>
    <row r="3" spans="1:20" s="86" customFormat="1" ht="12.5"/>
    <row r="4" spans="1:20" s="86" customFormat="1" ht="12.5"/>
    <row r="5" spans="1:20" s="86" customFormat="1">
      <c r="A5" s="99" t="s">
        <v>337</v>
      </c>
    </row>
    <row r="6" spans="1:20" s="86" customFormat="1">
      <c r="A6" s="99" t="s">
        <v>212</v>
      </c>
    </row>
    <row r="7" spans="1:20" s="86" customFormat="1" ht="12.5"/>
    <row r="8" spans="1:20" ht="13.5" thickBot="1">
      <c r="A8" s="213" t="s">
        <v>331</v>
      </c>
      <c r="B8" s="84">
        <v>2021</v>
      </c>
      <c r="C8" s="214">
        <v>2022</v>
      </c>
      <c r="D8" s="214">
        <v>2023</v>
      </c>
      <c r="E8" s="214">
        <v>2024</v>
      </c>
      <c r="F8" s="214">
        <v>2025</v>
      </c>
      <c r="G8" s="226">
        <v>46023</v>
      </c>
      <c r="I8" s="226" t="s">
        <v>344</v>
      </c>
      <c r="J8" s="226" t="s">
        <v>345</v>
      </c>
      <c r="K8" s="226" t="s">
        <v>354</v>
      </c>
    </row>
    <row r="9" spans="1:20">
      <c r="A9" s="99"/>
      <c r="B9" s="100"/>
      <c r="C9" s="113"/>
      <c r="D9" s="113"/>
      <c r="E9" s="101"/>
      <c r="F9" s="101"/>
      <c r="G9" s="101"/>
      <c r="H9" s="227"/>
      <c r="I9" s="101"/>
      <c r="J9" s="101"/>
      <c r="K9" s="101"/>
      <c r="L9" s="227"/>
    </row>
    <row r="10" spans="1:20">
      <c r="A10" s="102" t="s">
        <v>11</v>
      </c>
      <c r="B10" s="103"/>
      <c r="E10" s="101"/>
      <c r="F10" s="101"/>
      <c r="G10" s="101"/>
      <c r="H10" s="227"/>
      <c r="I10" s="228" t="e">
        <f>+E10/D10-1</f>
        <v>#DIV/0!</v>
      </c>
      <c r="J10" s="228" t="e">
        <f>+F10/E10-1</f>
        <v>#DIV/0!</v>
      </c>
      <c r="K10" s="228" t="e">
        <f>+G10/F10-1</f>
        <v>#DIV/0!</v>
      </c>
      <c r="L10" s="227"/>
      <c r="M10" s="98"/>
      <c r="N10" s="98"/>
    </row>
    <row r="11" spans="1:20">
      <c r="A11" s="102"/>
      <c r="B11" s="103"/>
      <c r="C11" s="103"/>
      <c r="E11" s="101"/>
      <c r="F11" s="101"/>
      <c r="G11" s="101"/>
      <c r="H11" s="227"/>
      <c r="I11" s="101"/>
      <c r="J11" s="101"/>
      <c r="K11" s="101"/>
      <c r="L11" s="227"/>
    </row>
    <row r="12" spans="1:20">
      <c r="A12" s="102" t="s">
        <v>210</v>
      </c>
      <c r="B12" s="208"/>
      <c r="C12" s="209">
        <v>0</v>
      </c>
      <c r="D12" s="209">
        <v>0</v>
      </c>
      <c r="E12" s="209">
        <v>0</v>
      </c>
      <c r="F12" s="209">
        <v>0</v>
      </c>
      <c r="G12" s="209">
        <v>0</v>
      </c>
      <c r="H12" s="95"/>
      <c r="I12" s="228" t="e">
        <f>+E12/D12-1</f>
        <v>#DIV/0!</v>
      </c>
      <c r="J12" s="228" t="e">
        <f>+F12/E12-1</f>
        <v>#DIV/0!</v>
      </c>
      <c r="K12" s="228" t="e">
        <f>+G12/F12-1</f>
        <v>#DIV/0!</v>
      </c>
      <c r="L12" s="95"/>
      <c r="M12" s="98"/>
      <c r="O12" s="98"/>
      <c r="P12" s="98"/>
      <c r="R12" s="238"/>
      <c r="T12" s="238"/>
    </row>
    <row r="13" spans="1:20">
      <c r="A13" s="102"/>
      <c r="B13" s="103"/>
      <c r="C13" s="103"/>
      <c r="E13" s="101"/>
      <c r="F13" s="101"/>
      <c r="G13" s="101"/>
      <c r="H13" s="227"/>
      <c r="I13" s="101"/>
      <c r="J13" s="101"/>
      <c r="K13" s="101"/>
      <c r="L13" s="227"/>
    </row>
    <row r="14" spans="1:20">
      <c r="A14" s="182" t="s">
        <v>305</v>
      </c>
      <c r="B14" s="103">
        <f t="shared" ref="B14:G14" si="0">+B10-B12</f>
        <v>0</v>
      </c>
      <c r="C14" s="103">
        <f t="shared" si="0"/>
        <v>0</v>
      </c>
      <c r="D14" s="103">
        <f t="shared" si="0"/>
        <v>0</v>
      </c>
      <c r="E14" s="103">
        <f t="shared" si="0"/>
        <v>0</v>
      </c>
      <c r="F14" s="103">
        <f t="shared" si="0"/>
        <v>0</v>
      </c>
      <c r="G14" s="103">
        <f t="shared" si="0"/>
        <v>0</v>
      </c>
      <c r="H14" s="227"/>
      <c r="I14" s="228" t="e">
        <f>+E14/D14-1</f>
        <v>#DIV/0!</v>
      </c>
      <c r="J14" s="228" t="e">
        <f>+F14/E14-1</f>
        <v>#DIV/0!</v>
      </c>
      <c r="K14" s="228" t="e">
        <f>+G14/F14-1</f>
        <v>#DIV/0!</v>
      </c>
      <c r="L14" s="227"/>
      <c r="R14" s="238"/>
      <c r="T14" s="238"/>
    </row>
    <row r="15" spans="1:20">
      <c r="A15" s="102"/>
      <c r="B15" s="103"/>
      <c r="C15" s="103"/>
      <c r="E15" s="101"/>
      <c r="F15" s="101"/>
      <c r="G15" s="101"/>
      <c r="H15" s="227"/>
      <c r="I15" s="101"/>
      <c r="J15" s="101"/>
      <c r="K15" s="101"/>
      <c r="L15" s="227"/>
    </row>
    <row r="16" spans="1:20">
      <c r="A16" s="182" t="s">
        <v>299</v>
      </c>
      <c r="B16" s="101">
        <f t="shared" ref="B16:G16" si="1">SUM(B18:B19)</f>
        <v>0</v>
      </c>
      <c r="C16" s="101">
        <f t="shared" si="1"/>
        <v>0</v>
      </c>
      <c r="D16" s="101">
        <f t="shared" si="1"/>
        <v>0</v>
      </c>
      <c r="E16" s="101">
        <f t="shared" si="1"/>
        <v>0</v>
      </c>
      <c r="F16" s="101">
        <f t="shared" si="1"/>
        <v>0</v>
      </c>
      <c r="G16" s="101">
        <f t="shared" si="1"/>
        <v>0</v>
      </c>
      <c r="I16" s="228" t="e">
        <f>+E16/D16-1</f>
        <v>#DIV/0!</v>
      </c>
      <c r="J16" s="228" t="e">
        <f>+F16/E16-1</f>
        <v>#DIV/0!</v>
      </c>
      <c r="K16" s="228" t="e">
        <f>+G16/F16-1</f>
        <v>#DIV/0!</v>
      </c>
    </row>
    <row r="17" spans="1:18">
      <c r="A17" s="104"/>
      <c r="B17" s="95"/>
      <c r="C17" s="95"/>
      <c r="D17" s="95"/>
      <c r="E17" s="101"/>
      <c r="F17" s="101"/>
      <c r="G17" s="101"/>
      <c r="I17" s="101"/>
      <c r="J17" s="101"/>
      <c r="K17" s="101"/>
    </row>
    <row r="18" spans="1:18" ht="12.5">
      <c r="A18" s="104" t="s">
        <v>323</v>
      </c>
      <c r="B18" s="95"/>
      <c r="C18" s="95"/>
      <c r="D18" s="95"/>
      <c r="E18" s="95"/>
      <c r="F18" s="95"/>
      <c r="G18" s="95"/>
      <c r="H18" s="98"/>
      <c r="I18" s="228" t="e">
        <f>+E18/D18-1</f>
        <v>#DIV/0!</v>
      </c>
      <c r="J18" s="228" t="e">
        <f>+F18/E18-1</f>
        <v>#DIV/0!</v>
      </c>
      <c r="K18" s="228" t="e">
        <f>+G18/F18-1</f>
        <v>#DIV/0!</v>
      </c>
      <c r="L18" s="98"/>
      <c r="M18" s="98"/>
      <c r="N18" s="98"/>
      <c r="O18" s="98"/>
      <c r="P18" s="98"/>
      <c r="R18" s="239"/>
    </row>
    <row r="19" spans="1:18" ht="12.5">
      <c r="A19" s="104"/>
      <c r="B19" s="95"/>
      <c r="C19" s="95"/>
      <c r="D19" s="95"/>
      <c r="E19" s="95"/>
      <c r="F19" s="95"/>
      <c r="G19" s="95"/>
      <c r="I19" s="95"/>
      <c r="J19" s="95"/>
      <c r="K19" s="95"/>
    </row>
    <row r="20" spans="1:18" ht="12.5">
      <c r="A20" s="104"/>
      <c r="B20" s="95"/>
      <c r="C20" s="95"/>
      <c r="D20" s="95"/>
      <c r="E20" s="95"/>
      <c r="F20" s="95"/>
      <c r="G20" s="95"/>
      <c r="I20" s="95"/>
      <c r="J20" s="95"/>
      <c r="K20" s="95"/>
    </row>
    <row r="21" spans="1:18" ht="13.5" thickBot="1">
      <c r="A21" s="182" t="s">
        <v>306</v>
      </c>
      <c r="B21" s="183">
        <f t="shared" ref="B21:G21" si="2">+B14-B16</f>
        <v>0</v>
      </c>
      <c r="C21" s="183">
        <f t="shared" si="2"/>
        <v>0</v>
      </c>
      <c r="D21" s="183">
        <f t="shared" si="2"/>
        <v>0</v>
      </c>
      <c r="E21" s="183">
        <f t="shared" si="2"/>
        <v>0</v>
      </c>
      <c r="F21" s="183">
        <f t="shared" si="2"/>
        <v>0</v>
      </c>
      <c r="G21" s="183">
        <f t="shared" si="2"/>
        <v>0</v>
      </c>
      <c r="I21" s="228" t="e">
        <f>+E21/D21-1</f>
        <v>#DIV/0!</v>
      </c>
      <c r="J21" s="228" t="e">
        <f>+F21/E21-1</f>
        <v>#DIV/0!</v>
      </c>
      <c r="K21" s="228" t="e">
        <f>+G21/F21-1</f>
        <v>#DIV/0!</v>
      </c>
    </row>
    <row r="22" spans="1:18" ht="6" customHeight="1">
      <c r="A22" s="104"/>
      <c r="B22" s="95"/>
      <c r="C22" s="95"/>
      <c r="D22" s="95"/>
      <c r="E22" s="95"/>
      <c r="F22" s="95"/>
      <c r="G22" s="95"/>
      <c r="I22" s="95"/>
      <c r="J22" s="95"/>
      <c r="K22" s="95"/>
    </row>
    <row r="23" spans="1:18" ht="12.5">
      <c r="A23" s="104" t="s">
        <v>312</v>
      </c>
      <c r="B23" s="95"/>
      <c r="C23" s="95"/>
      <c r="D23" s="95"/>
      <c r="E23" s="95"/>
      <c r="F23" s="95"/>
      <c r="G23" s="95"/>
      <c r="I23" s="95"/>
      <c r="J23" s="95"/>
      <c r="K23" s="95"/>
    </row>
    <row r="24" spans="1:18" ht="12.5">
      <c r="A24" s="104" t="s">
        <v>313</v>
      </c>
      <c r="B24" s="95"/>
      <c r="C24" s="95"/>
      <c r="D24" s="95"/>
      <c r="E24" s="95"/>
      <c r="F24" s="95"/>
      <c r="G24" s="95"/>
      <c r="I24" s="228" t="e">
        <f t="shared" ref="I24:K26" si="3">+E24/D24-1</f>
        <v>#DIV/0!</v>
      </c>
      <c r="J24" s="228" t="e">
        <f t="shared" si="3"/>
        <v>#DIV/0!</v>
      </c>
      <c r="K24" s="228" t="e">
        <f t="shared" si="3"/>
        <v>#DIV/0!</v>
      </c>
    </row>
    <row r="25" spans="1:18" ht="12.5">
      <c r="A25" s="104" t="s">
        <v>314</v>
      </c>
      <c r="B25" s="95"/>
      <c r="C25" s="95"/>
      <c r="D25" s="95"/>
      <c r="E25" s="95"/>
      <c r="F25" s="95"/>
      <c r="G25" s="95"/>
      <c r="I25" s="228" t="e">
        <f t="shared" si="3"/>
        <v>#DIV/0!</v>
      </c>
      <c r="J25" s="228" t="e">
        <f t="shared" si="3"/>
        <v>#DIV/0!</v>
      </c>
      <c r="K25" s="228" t="e">
        <f t="shared" si="3"/>
        <v>#DIV/0!</v>
      </c>
    </row>
    <row r="26" spans="1:18" ht="12.5">
      <c r="A26" s="104" t="s">
        <v>315</v>
      </c>
      <c r="B26" s="95"/>
      <c r="C26" s="95"/>
      <c r="D26" s="95"/>
      <c r="E26" s="95"/>
      <c r="F26" s="95"/>
      <c r="G26" s="95"/>
      <c r="I26" s="228" t="e">
        <f t="shared" si="3"/>
        <v>#DIV/0!</v>
      </c>
      <c r="J26" s="228" t="e">
        <f t="shared" si="3"/>
        <v>#DIV/0!</v>
      </c>
      <c r="K26" s="228" t="e">
        <f t="shared" si="3"/>
        <v>#DIV/0!</v>
      </c>
    </row>
    <row r="27" spans="1:18" ht="4" customHeight="1">
      <c r="A27" s="104"/>
      <c r="B27" s="95"/>
      <c r="C27" s="95"/>
      <c r="D27" s="95"/>
      <c r="E27" s="95"/>
      <c r="F27" s="95"/>
      <c r="G27" s="95"/>
      <c r="I27" s="95"/>
      <c r="J27" s="95"/>
      <c r="K27" s="95"/>
    </row>
    <row r="28" spans="1:18" ht="13.5" thickBot="1">
      <c r="A28" s="106" t="s">
        <v>307</v>
      </c>
      <c r="B28" s="184">
        <f t="shared" ref="B28:G28" si="4">+B21+B23-B24+B25-B26</f>
        <v>0</v>
      </c>
      <c r="C28" s="184">
        <f t="shared" si="4"/>
        <v>0</v>
      </c>
      <c r="D28" s="184">
        <f t="shared" si="4"/>
        <v>0</v>
      </c>
      <c r="E28" s="184">
        <f t="shared" si="4"/>
        <v>0</v>
      </c>
      <c r="F28" s="184">
        <f t="shared" si="4"/>
        <v>0</v>
      </c>
      <c r="G28" s="184">
        <f t="shared" si="4"/>
        <v>0</v>
      </c>
      <c r="H28" s="100"/>
      <c r="I28" s="228" t="e">
        <f>+E28/D28-1</f>
        <v>#DIV/0!</v>
      </c>
      <c r="J28" s="228" t="e">
        <f>+F28/E28-1</f>
        <v>#DIV/0!</v>
      </c>
      <c r="K28" s="228" t="e">
        <f>+G28/F28-1</f>
        <v>#DIV/0!</v>
      </c>
      <c r="L28" s="100"/>
    </row>
    <row r="29" spans="1:18" ht="13.5" thickTop="1">
      <c r="A29" s="108"/>
      <c r="B29" s="109"/>
      <c r="C29" s="109"/>
      <c r="D29" s="109"/>
      <c r="E29" s="101"/>
      <c r="F29" s="101"/>
      <c r="G29" s="101"/>
      <c r="I29" s="101"/>
      <c r="J29" s="101"/>
      <c r="K29" s="101"/>
    </row>
    <row r="30" spans="1:18">
      <c r="A30" s="108" t="s">
        <v>308</v>
      </c>
      <c r="B30" s="109"/>
      <c r="C30" s="109"/>
      <c r="D30" s="109"/>
      <c r="E30" s="101"/>
      <c r="F30" s="101"/>
      <c r="G30" s="101"/>
      <c r="I30" s="228" t="e">
        <f>+E30/D30-1</f>
        <v>#DIV/0!</v>
      </c>
      <c r="J30" s="228" t="e">
        <f>+F30/E30-1</f>
        <v>#DIV/0!</v>
      </c>
      <c r="K30" s="228" t="e">
        <f>+G30/F30-1</f>
        <v>#DIV/0!</v>
      </c>
    </row>
    <row r="31" spans="1:18">
      <c r="A31" s="108"/>
      <c r="B31" s="109"/>
      <c r="C31" s="109"/>
      <c r="D31" s="109"/>
      <c r="E31" s="101"/>
      <c r="F31" s="101"/>
      <c r="G31" s="101"/>
      <c r="I31" s="101"/>
      <c r="J31" s="101"/>
      <c r="K31" s="101"/>
    </row>
    <row r="32" spans="1:18">
      <c r="A32" s="106" t="s">
        <v>300</v>
      </c>
      <c r="B32" s="107">
        <f t="shared" ref="B32:G32" si="5">+B28-B30</f>
        <v>0</v>
      </c>
      <c r="C32" s="107">
        <f t="shared" si="5"/>
        <v>0</v>
      </c>
      <c r="D32" s="107">
        <f t="shared" si="5"/>
        <v>0</v>
      </c>
      <c r="E32" s="107">
        <f t="shared" si="5"/>
        <v>0</v>
      </c>
      <c r="F32" s="107">
        <f t="shared" si="5"/>
        <v>0</v>
      </c>
      <c r="G32" s="107">
        <f t="shared" si="5"/>
        <v>0</v>
      </c>
      <c r="H32" s="227"/>
      <c r="I32" s="228" t="e">
        <f t="shared" ref="I32:K35" si="6">+E32/D32-1</f>
        <v>#DIV/0!</v>
      </c>
      <c r="J32" s="228" t="e">
        <f t="shared" si="6"/>
        <v>#DIV/0!</v>
      </c>
      <c r="K32" s="228" t="e">
        <f t="shared" si="6"/>
        <v>#DIV/0!</v>
      </c>
      <c r="L32" s="227"/>
    </row>
    <row r="33" spans="1:12" ht="12.5">
      <c r="A33" s="108" t="s">
        <v>247</v>
      </c>
      <c r="B33" s="109"/>
      <c r="C33" s="109"/>
      <c r="D33" s="109"/>
      <c r="E33" s="109"/>
      <c r="F33" s="109"/>
      <c r="G33" s="109"/>
      <c r="I33" s="228" t="e">
        <f t="shared" si="6"/>
        <v>#DIV/0!</v>
      </c>
      <c r="J33" s="228" t="e">
        <f t="shared" si="6"/>
        <v>#DIV/0!</v>
      </c>
      <c r="K33" s="228" t="e">
        <f t="shared" si="6"/>
        <v>#DIV/0!</v>
      </c>
    </row>
    <row r="34" spans="1:12" ht="12.5">
      <c r="A34" s="108" t="s">
        <v>248</v>
      </c>
      <c r="B34" s="109"/>
      <c r="C34" s="109"/>
      <c r="D34" s="109"/>
      <c r="E34" s="95"/>
      <c r="F34" s="95"/>
      <c r="G34" s="95"/>
      <c r="I34" s="228" t="e">
        <f t="shared" si="6"/>
        <v>#DIV/0!</v>
      </c>
      <c r="J34" s="228" t="e">
        <f t="shared" si="6"/>
        <v>#DIV/0!</v>
      </c>
      <c r="K34" s="228" t="e">
        <f t="shared" si="6"/>
        <v>#DIV/0!</v>
      </c>
    </row>
    <row r="35" spans="1:12">
      <c r="A35" s="106" t="s">
        <v>12</v>
      </c>
      <c r="B35" s="107">
        <f t="shared" ref="B35:G35" si="7">+B32-B33-B34</f>
        <v>0</v>
      </c>
      <c r="C35" s="107">
        <f t="shared" si="7"/>
        <v>0</v>
      </c>
      <c r="D35" s="107">
        <f t="shared" si="7"/>
        <v>0</v>
      </c>
      <c r="E35" s="107">
        <f t="shared" si="7"/>
        <v>0</v>
      </c>
      <c r="F35" s="107">
        <f t="shared" si="7"/>
        <v>0</v>
      </c>
      <c r="G35" s="107">
        <f t="shared" si="7"/>
        <v>0</v>
      </c>
      <c r="H35" s="227"/>
      <c r="I35" s="228" t="e">
        <f t="shared" si="6"/>
        <v>#DIV/0!</v>
      </c>
      <c r="J35" s="228" t="e">
        <f t="shared" si="6"/>
        <v>#DIV/0!</v>
      </c>
      <c r="K35" s="228" t="e">
        <f t="shared" si="6"/>
        <v>#DIV/0!</v>
      </c>
      <c r="L35" s="227"/>
    </row>
    <row r="36" spans="1:12">
      <c r="A36" s="86"/>
      <c r="E36" s="95"/>
      <c r="F36" s="95"/>
      <c r="G36" s="95"/>
      <c r="I36" s="95"/>
      <c r="J36" s="95"/>
      <c r="K36" s="95"/>
    </row>
    <row r="37" spans="1:12">
      <c r="A37" s="86"/>
    </row>
    <row r="38" spans="1:12">
      <c r="A38" s="86"/>
      <c r="C38" s="110"/>
      <c r="D38" s="110"/>
    </row>
    <row r="39" spans="1:12">
      <c r="A39" s="86"/>
      <c r="B39" s="112"/>
      <c r="C39" s="112"/>
      <c r="D39" s="112"/>
      <c r="E39" s="99"/>
      <c r="F39" s="99"/>
      <c r="G39" s="99"/>
    </row>
    <row r="40" spans="1:12">
      <c r="A40" s="86"/>
      <c r="C40" s="111"/>
      <c r="D40" s="111"/>
    </row>
    <row r="41" spans="1:12">
      <c r="A41" s="86"/>
    </row>
    <row r="42" spans="1:12">
      <c r="A42" s="86"/>
      <c r="B42" s="112"/>
      <c r="C42" s="112"/>
      <c r="D42" s="112"/>
    </row>
    <row r="43" spans="1:12">
      <c r="A43" s="86"/>
      <c r="C43" s="113"/>
      <c r="D43" s="113"/>
    </row>
    <row r="44" spans="1:12">
      <c r="A44" s="86"/>
    </row>
    <row r="45" spans="1:12">
      <c r="A45" s="86"/>
    </row>
    <row r="46" spans="1:12">
      <c r="A46" s="86"/>
    </row>
    <row r="47" spans="1:12">
      <c r="A47" s="86"/>
    </row>
    <row r="48" spans="1:12">
      <c r="A48" s="86"/>
    </row>
    <row r="49" spans="1:1">
      <c r="A49" s="86"/>
    </row>
    <row r="50" spans="1:1">
      <c r="A50" s="86"/>
    </row>
    <row r="51" spans="1:1">
      <c r="A51" s="86"/>
    </row>
    <row r="52" spans="1:1">
      <c r="A52" s="86"/>
    </row>
    <row r="53" spans="1:1">
      <c r="A53" s="86"/>
    </row>
    <row r="54" spans="1:1">
      <c r="A54" s="86"/>
    </row>
    <row r="55" spans="1:1">
      <c r="A55" s="86"/>
    </row>
    <row r="56" spans="1:1">
      <c r="A56" s="86"/>
    </row>
    <row r="57" spans="1:1">
      <c r="A57" s="86"/>
    </row>
    <row r="58" spans="1:1">
      <c r="A58" s="86"/>
    </row>
    <row r="59" spans="1:1">
      <c r="A59" s="86"/>
    </row>
    <row r="60" spans="1:1">
      <c r="A60" s="86"/>
    </row>
    <row r="61" spans="1:1">
      <c r="A61" s="86"/>
    </row>
    <row r="62" spans="1:1">
      <c r="A62" s="86"/>
    </row>
    <row r="63" spans="1:1">
      <c r="A63" s="86"/>
    </row>
    <row r="64" spans="1:1">
      <c r="A64" s="86"/>
    </row>
    <row r="65" spans="1:1">
      <c r="A65" s="86"/>
    </row>
    <row r="66" spans="1:1">
      <c r="A66" s="86"/>
    </row>
    <row r="67" spans="1:1">
      <c r="A67" s="86"/>
    </row>
    <row r="68" spans="1:1">
      <c r="A68" s="86"/>
    </row>
    <row r="69" spans="1:1">
      <c r="A69" s="86"/>
    </row>
    <row r="70" spans="1:1">
      <c r="A70" s="86"/>
    </row>
    <row r="71" spans="1:1">
      <c r="A71" s="86"/>
    </row>
    <row r="72" spans="1:1">
      <c r="A72" s="86"/>
    </row>
    <row r="73" spans="1:1">
      <c r="A73" s="86"/>
    </row>
    <row r="74" spans="1:1">
      <c r="A74" s="86"/>
    </row>
    <row r="75" spans="1:1">
      <c r="A75" s="86"/>
    </row>
    <row r="76" spans="1:1">
      <c r="A76" s="86"/>
    </row>
    <row r="77" spans="1:1">
      <c r="A77" s="86"/>
    </row>
    <row r="78" spans="1:1">
      <c r="A78" s="86"/>
    </row>
    <row r="79" spans="1:1">
      <c r="A79" s="86"/>
    </row>
    <row r="80" spans="1:1">
      <c r="A80" s="86"/>
    </row>
    <row r="81" spans="1:1">
      <c r="A81" s="86"/>
    </row>
    <row r="82" spans="1:1">
      <c r="A82" s="86"/>
    </row>
    <row r="83" spans="1:1">
      <c r="A83" s="86"/>
    </row>
    <row r="84" spans="1:1">
      <c r="A84" s="86"/>
    </row>
    <row r="85" spans="1:1">
      <c r="A85" s="86"/>
    </row>
    <row r="86" spans="1:1">
      <c r="A86" s="86"/>
    </row>
    <row r="87" spans="1:1">
      <c r="A87" s="86"/>
    </row>
    <row r="88" spans="1:1">
      <c r="A88" s="86"/>
    </row>
    <row r="89" spans="1:1">
      <c r="A89" s="86"/>
    </row>
    <row r="90" spans="1:1">
      <c r="A90" s="86"/>
    </row>
    <row r="91" spans="1:1">
      <c r="A91" s="86"/>
    </row>
    <row r="92" spans="1:1">
      <c r="A92" s="86"/>
    </row>
    <row r="93" spans="1:1">
      <c r="A93" s="86"/>
    </row>
    <row r="94" spans="1:1">
      <c r="A94" s="86"/>
    </row>
    <row r="95" spans="1:1">
      <c r="A95" s="86"/>
    </row>
    <row r="96" spans="1:1">
      <c r="A96" s="86"/>
    </row>
    <row r="97" spans="1:1">
      <c r="A97" s="86"/>
    </row>
    <row r="98" spans="1:1">
      <c r="A98" s="86"/>
    </row>
    <row r="99" spans="1:1">
      <c r="A99" s="86"/>
    </row>
    <row r="100" spans="1:1">
      <c r="A100" s="86"/>
    </row>
    <row r="101" spans="1:1">
      <c r="A101" s="86"/>
    </row>
    <row r="102" spans="1:1">
      <c r="A102" s="86"/>
    </row>
    <row r="103" spans="1:1">
      <c r="A103" s="86"/>
    </row>
    <row r="104" spans="1:1">
      <c r="A104" s="86"/>
    </row>
    <row r="105" spans="1:1">
      <c r="A105" s="86"/>
    </row>
    <row r="106" spans="1:1">
      <c r="A106" s="86"/>
    </row>
    <row r="107" spans="1:1">
      <c r="A107" s="86"/>
    </row>
    <row r="108" spans="1:1">
      <c r="A108" s="86"/>
    </row>
    <row r="109" spans="1:1">
      <c r="A109" s="86"/>
    </row>
    <row r="110" spans="1:1">
      <c r="A110" s="86"/>
    </row>
    <row r="111" spans="1:1">
      <c r="A111" s="86"/>
    </row>
    <row r="112" spans="1:1">
      <c r="A112" s="86"/>
    </row>
    <row r="113" spans="1:1">
      <c r="A113" s="86"/>
    </row>
    <row r="114" spans="1:1">
      <c r="A114" s="86"/>
    </row>
    <row r="115" spans="1:1">
      <c r="A115" s="86"/>
    </row>
    <row r="116" spans="1:1">
      <c r="A116" s="86"/>
    </row>
    <row r="117" spans="1:1">
      <c r="A117" s="86"/>
    </row>
    <row r="118" spans="1:1">
      <c r="A118" s="86"/>
    </row>
    <row r="119" spans="1:1">
      <c r="A119" s="86"/>
    </row>
    <row r="120" spans="1:1">
      <c r="A120" s="86"/>
    </row>
    <row r="121" spans="1:1">
      <c r="A121" s="86"/>
    </row>
    <row r="122" spans="1:1">
      <c r="A122" s="86"/>
    </row>
    <row r="123" spans="1:1">
      <c r="A123" s="86"/>
    </row>
    <row r="124" spans="1:1">
      <c r="A124" s="86"/>
    </row>
    <row r="125" spans="1:1">
      <c r="A125" s="86"/>
    </row>
    <row r="126" spans="1:1">
      <c r="A126" s="86"/>
    </row>
    <row r="127" spans="1:1">
      <c r="A127" s="86"/>
    </row>
    <row r="128" spans="1:1">
      <c r="A128" s="86"/>
    </row>
    <row r="129" spans="1:1">
      <c r="A129" s="86"/>
    </row>
    <row r="130" spans="1:1">
      <c r="A130" s="86"/>
    </row>
    <row r="131" spans="1:1">
      <c r="A131" s="86"/>
    </row>
    <row r="132" spans="1:1">
      <c r="A132" s="86"/>
    </row>
    <row r="133" spans="1:1">
      <c r="A133" s="86"/>
    </row>
    <row r="134" spans="1:1">
      <c r="A134" s="86"/>
    </row>
    <row r="135" spans="1:1">
      <c r="A135" s="86"/>
    </row>
    <row r="136" spans="1:1">
      <c r="A136" s="86"/>
    </row>
    <row r="137" spans="1:1">
      <c r="A137" s="86"/>
    </row>
    <row r="138" spans="1:1">
      <c r="A138" s="86"/>
    </row>
    <row r="139" spans="1:1">
      <c r="A139" s="86"/>
    </row>
    <row r="140" spans="1:1">
      <c r="A140" s="86"/>
    </row>
    <row r="141" spans="1:1">
      <c r="A141" s="86"/>
    </row>
    <row r="142" spans="1:1">
      <c r="A142" s="86"/>
    </row>
    <row r="143" spans="1:1">
      <c r="A143" s="86"/>
    </row>
    <row r="144" spans="1:1">
      <c r="A144" s="86"/>
    </row>
    <row r="145" spans="1:1">
      <c r="A145" s="86"/>
    </row>
    <row r="146" spans="1:1">
      <c r="A146" s="86"/>
    </row>
    <row r="147" spans="1:1">
      <c r="A147" s="86"/>
    </row>
    <row r="148" spans="1:1">
      <c r="A148" s="86"/>
    </row>
    <row r="149" spans="1:1">
      <c r="A149" s="86"/>
    </row>
    <row r="150" spans="1:1">
      <c r="A150" s="86"/>
    </row>
    <row r="151" spans="1:1">
      <c r="A151" s="86"/>
    </row>
    <row r="152" spans="1:1">
      <c r="A152" s="86"/>
    </row>
    <row r="153" spans="1:1">
      <c r="A153" s="86"/>
    </row>
    <row r="154" spans="1:1">
      <c r="A154" s="86"/>
    </row>
    <row r="155" spans="1:1">
      <c r="A155" s="86"/>
    </row>
    <row r="156" spans="1:1">
      <c r="A156" s="86"/>
    </row>
    <row r="157" spans="1:1">
      <c r="A157" s="86"/>
    </row>
    <row r="158" spans="1:1">
      <c r="A158" s="86"/>
    </row>
    <row r="159" spans="1:1">
      <c r="A159" s="86"/>
    </row>
    <row r="160" spans="1:1">
      <c r="A160" s="86"/>
    </row>
    <row r="161" spans="1:1">
      <c r="A161" s="86"/>
    </row>
    <row r="162" spans="1:1">
      <c r="A162" s="86"/>
    </row>
    <row r="163" spans="1:1">
      <c r="A163" s="86"/>
    </row>
    <row r="164" spans="1:1">
      <c r="A164" s="86"/>
    </row>
    <row r="165" spans="1:1">
      <c r="A165" s="86"/>
    </row>
    <row r="166" spans="1:1">
      <c r="A166" s="86"/>
    </row>
    <row r="167" spans="1:1">
      <c r="A167" s="86"/>
    </row>
    <row r="168" spans="1:1">
      <c r="A168" s="86"/>
    </row>
    <row r="169" spans="1:1">
      <c r="A169" s="86"/>
    </row>
    <row r="170" spans="1:1">
      <c r="A170" s="86"/>
    </row>
    <row r="171" spans="1:1">
      <c r="A171" s="86"/>
    </row>
    <row r="172" spans="1:1">
      <c r="A172" s="86"/>
    </row>
    <row r="173" spans="1:1">
      <c r="A173" s="86"/>
    </row>
  </sheetData>
  <phoneticPr fontId="5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360E-EA9A-4041-AB4E-BBCED2FC5E97}">
  <sheetPr codeName="Hoja5"/>
  <dimension ref="A1:P50"/>
  <sheetViews>
    <sheetView tabSelected="1" topLeftCell="A8" zoomScale="90" zoomScaleNormal="90" workbookViewId="0">
      <pane xSplit="1" topLeftCell="D1" activePane="topRight" state="frozen"/>
      <selection pane="topRight" activeCell="F35" sqref="F35"/>
    </sheetView>
  </sheetViews>
  <sheetFormatPr baseColWidth="10" defaultColWidth="11.453125" defaultRowHeight="12.5" outlineLevelCol="1"/>
  <cols>
    <col min="1" max="1" width="38" style="85" bestFit="1" customWidth="1"/>
    <col min="2" max="2" width="13.453125" style="85" hidden="1" customWidth="1" outlineLevel="1"/>
    <col min="3" max="3" width="13.453125" style="85" hidden="1" customWidth="1" outlineLevel="1" collapsed="1"/>
    <col min="4" max="4" width="13.453125" style="85" bestFit="1" customWidth="1" collapsed="1"/>
    <col min="5" max="7" width="13.54296875" style="85" customWidth="1" outlineLevel="1"/>
    <col min="8" max="8" width="11.6328125" style="85" customWidth="1"/>
    <col min="9" max="9" width="10.90625" style="85" hidden="1" customWidth="1" outlineLevel="1"/>
    <col min="10" max="10" width="13.26953125" style="85" bestFit="1" customWidth="1" collapsed="1"/>
    <col min="11" max="12" width="13.26953125" style="85" customWidth="1" outlineLevel="1"/>
    <col min="13" max="13" width="13.81640625" style="85" bestFit="1" customWidth="1"/>
    <col min="14" max="16" width="11.453125" style="86"/>
    <col min="17" max="16384" width="11.453125" style="85"/>
  </cols>
  <sheetData>
    <row r="1" spans="1:13" s="86" customFormat="1"/>
    <row r="2" spans="1:13" s="86" customFormat="1"/>
    <row r="3" spans="1:13" s="86" customFormat="1"/>
    <row r="4" spans="1:13" s="86" customFormat="1"/>
    <row r="5" spans="1:13" s="86" customFormat="1" ht="13">
      <c r="A5" s="99" t="s">
        <v>337</v>
      </c>
    </row>
    <row r="6" spans="1:13" s="86" customFormat="1" ht="13">
      <c r="A6" s="99" t="s">
        <v>13</v>
      </c>
    </row>
    <row r="7" spans="1:13" s="86" customFormat="1"/>
    <row r="8" spans="1:13" ht="26.5" thickBot="1">
      <c r="A8" s="220" t="s">
        <v>331</v>
      </c>
      <c r="B8" s="84">
        <v>2021</v>
      </c>
      <c r="C8" s="221">
        <v>2022</v>
      </c>
      <c r="D8" s="221">
        <v>2023</v>
      </c>
      <c r="E8" s="221">
        <v>2024</v>
      </c>
      <c r="F8" s="221">
        <v>2025</v>
      </c>
      <c r="G8" s="240">
        <v>46023</v>
      </c>
      <c r="I8" s="84" t="s">
        <v>301</v>
      </c>
      <c r="J8" s="221" t="s">
        <v>321</v>
      </c>
      <c r="K8" s="221" t="s">
        <v>322</v>
      </c>
      <c r="L8" s="221" t="s">
        <v>339</v>
      </c>
      <c r="M8" s="221" t="s">
        <v>353</v>
      </c>
    </row>
    <row r="9" spans="1:13" ht="13">
      <c r="A9" s="99"/>
      <c r="B9" s="114"/>
      <c r="C9" s="114"/>
      <c r="D9" s="114"/>
      <c r="E9" s="114"/>
      <c r="F9" s="114"/>
      <c r="G9" s="114"/>
      <c r="H9" s="115"/>
      <c r="I9" s="114"/>
      <c r="J9" s="114"/>
      <c r="K9" s="114"/>
      <c r="L9" s="114"/>
      <c r="M9" s="114"/>
    </row>
    <row r="10" spans="1:13" ht="13">
      <c r="A10" s="119" t="s">
        <v>243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</row>
    <row r="11" spans="1:13" ht="4.5" customHeight="1">
      <c r="A11" s="86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</row>
    <row r="12" spans="1:13">
      <c r="A12" s="116" t="s">
        <v>223</v>
      </c>
      <c r="B12" s="115">
        <f>+BG!B31</f>
        <v>0</v>
      </c>
      <c r="C12" s="115">
        <f>+BG!C31</f>
        <v>0</v>
      </c>
      <c r="D12" s="115">
        <f>+BG!D31</f>
        <v>0</v>
      </c>
      <c r="E12" s="115">
        <f>+BG!E31</f>
        <v>0</v>
      </c>
      <c r="F12" s="115">
        <f>+BG!F31</f>
        <v>0</v>
      </c>
      <c r="G12" s="115">
        <f>+BG!G31</f>
        <v>0</v>
      </c>
      <c r="H12" s="115"/>
      <c r="I12" s="176" t="e">
        <f t="shared" ref="I12:K15" si="0">(+C12/B12)-1</f>
        <v>#DIV/0!</v>
      </c>
      <c r="J12" s="176" t="e">
        <f t="shared" si="0"/>
        <v>#DIV/0!</v>
      </c>
      <c r="K12" s="176" t="e">
        <f t="shared" si="0"/>
        <v>#DIV/0!</v>
      </c>
      <c r="L12" s="176" t="e">
        <f>(+F12/E12)-1</f>
        <v>#DIV/0!</v>
      </c>
      <c r="M12" s="176" t="e">
        <f>(+G12/F12)-1</f>
        <v>#DIV/0!</v>
      </c>
    </row>
    <row r="13" spans="1:13">
      <c r="A13" s="116" t="s">
        <v>244</v>
      </c>
      <c r="B13" s="115" t="e">
        <f>SUM(BG!B43)/RF!B12</f>
        <v>#DIV/0!</v>
      </c>
      <c r="C13" s="115" t="e">
        <f>SUM(BG!C34+BG!C44)/RF!C12</f>
        <v>#DIV/0!</v>
      </c>
      <c r="D13" s="115" t="e">
        <f>SUM(BG!D34+BG!D44)/RF!D12</f>
        <v>#DIV/0!</v>
      </c>
      <c r="E13" s="115" t="e">
        <f>SUM(BG!E34+BG!E44)/RF!E12</f>
        <v>#DIV/0!</v>
      </c>
      <c r="F13" s="115" t="e">
        <f>SUM(BG!F34+BG!F44)/RF!F12</f>
        <v>#DIV/0!</v>
      </c>
      <c r="G13" s="115" t="e">
        <f>SUM(BG!G34+BG!G44)/RF!G12</f>
        <v>#DIV/0!</v>
      </c>
      <c r="H13" s="114"/>
      <c r="I13" s="176" t="e">
        <f t="shared" si="0"/>
        <v>#DIV/0!</v>
      </c>
      <c r="J13" s="176" t="e">
        <f t="shared" ref="J13" si="1">(+D13/C13)-1</f>
        <v>#DIV/0!</v>
      </c>
      <c r="K13" s="176" t="e">
        <f t="shared" ref="K13" si="2">(+E13/D13)-1</f>
        <v>#DIV/0!</v>
      </c>
      <c r="L13" s="176" t="e">
        <f t="shared" ref="L13:M13" si="3">(+F13/E13)-1</f>
        <v>#DIV/0!</v>
      </c>
      <c r="M13" s="176" t="e">
        <f t="shared" si="3"/>
        <v>#DIV/0!</v>
      </c>
    </row>
    <row r="14" spans="1:13">
      <c r="A14" s="116" t="s">
        <v>196</v>
      </c>
      <c r="B14" s="115" t="e">
        <f>SUM(BG!B42+BG!B46)/BG!B62</f>
        <v>#DIV/0!</v>
      </c>
      <c r="C14" s="115" t="e">
        <f>SUM(BG!C42+BG!C46+BG!C52)/BG!C62</f>
        <v>#DIV/0!</v>
      </c>
      <c r="D14" s="115" t="e">
        <f>SUM(BG!D42+BG!D46+BG!D52)/BG!D62</f>
        <v>#DIV/0!</v>
      </c>
      <c r="E14" s="115" t="e">
        <f>SUM(BG!E42+BG!E46+BG!E52)/BG!E62</f>
        <v>#DIV/0!</v>
      </c>
      <c r="F14" s="115" t="e">
        <f>SUM(BG!F42+BG!F46+BG!F52)/BG!F62</f>
        <v>#DIV/0!</v>
      </c>
      <c r="G14" s="115" t="e">
        <f>SUM(BG!G42+BG!G46+BG!G52)/BG!G62</f>
        <v>#DIV/0!</v>
      </c>
      <c r="H14" s="120"/>
      <c r="I14" s="176" t="e">
        <f t="shared" si="0"/>
        <v>#DIV/0!</v>
      </c>
      <c r="J14" s="176" t="e">
        <f t="shared" ref="J14" si="4">(+D14/C14)-1</f>
        <v>#DIV/0!</v>
      </c>
      <c r="K14" s="176" t="e">
        <f t="shared" ref="K14:M15" si="5">(+E14/D14)-1</f>
        <v>#DIV/0!</v>
      </c>
      <c r="L14" s="176" t="e">
        <f t="shared" si="5"/>
        <v>#DIV/0!</v>
      </c>
      <c r="M14" s="176" t="e">
        <f t="shared" si="5"/>
        <v>#DIV/0!</v>
      </c>
    </row>
    <row r="15" spans="1:13">
      <c r="A15" s="116" t="s">
        <v>71</v>
      </c>
      <c r="B15" s="117" t="e">
        <f>+BG!B23/BG!B31</f>
        <v>#DIV/0!</v>
      </c>
      <c r="C15" s="117" t="e">
        <f>+BG!C23/BG!C31</f>
        <v>#DIV/0!</v>
      </c>
      <c r="D15" s="117" t="e">
        <f>+BG!D23/BG!D31</f>
        <v>#DIV/0!</v>
      </c>
      <c r="E15" s="117" t="e">
        <f>+BG!E23/BG!E31</f>
        <v>#DIV/0!</v>
      </c>
      <c r="F15" s="117" t="e">
        <f>+BG!F23/BG!F31</f>
        <v>#DIV/0!</v>
      </c>
      <c r="G15" s="117" t="e">
        <f>+BG!G23/BG!G31</f>
        <v>#DIV/0!</v>
      </c>
      <c r="H15" s="117"/>
      <c r="I15" s="176" t="e">
        <f t="shared" si="0"/>
        <v>#DIV/0!</v>
      </c>
      <c r="J15" s="176" t="e">
        <f>(+D15/C15)-1</f>
        <v>#DIV/0!</v>
      </c>
      <c r="K15" s="176" t="e">
        <f t="shared" si="5"/>
        <v>#DIV/0!</v>
      </c>
      <c r="L15" s="176" t="e">
        <f>(+F15/E15)-1</f>
        <v>#DIV/0!</v>
      </c>
      <c r="M15" s="176" t="e">
        <f>(+G15/F15)-1</f>
        <v>#DIV/0!</v>
      </c>
    </row>
    <row r="16" spans="1:13" ht="13">
      <c r="A16" s="119"/>
      <c r="B16" s="117"/>
      <c r="C16" s="117"/>
      <c r="D16" s="117"/>
      <c r="E16" s="117"/>
      <c r="F16" s="117"/>
      <c r="G16" s="117"/>
      <c r="H16" s="118"/>
      <c r="I16" s="176"/>
      <c r="J16" s="176"/>
      <c r="K16" s="176"/>
      <c r="L16" s="176"/>
      <c r="M16" s="176"/>
    </row>
    <row r="17" spans="1:14" ht="13">
      <c r="A17" s="119" t="s">
        <v>14</v>
      </c>
      <c r="B17" s="114"/>
      <c r="C17" s="114"/>
      <c r="D17" s="114"/>
      <c r="E17" s="114"/>
      <c r="F17" s="114"/>
      <c r="G17" s="114"/>
      <c r="H17" s="121"/>
      <c r="I17" s="114"/>
      <c r="J17" s="114"/>
      <c r="K17" s="114"/>
      <c r="L17" s="114"/>
      <c r="M17" s="114"/>
    </row>
    <row r="18" spans="1:14" ht="5" customHeight="1">
      <c r="A18" s="116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</row>
    <row r="19" spans="1:14">
      <c r="A19" s="116" t="s">
        <v>15</v>
      </c>
      <c r="B19" s="121" t="e">
        <f>SUM(BG!B13/ER!B10)*360</f>
        <v>#DIV/0!</v>
      </c>
      <c r="C19" s="121" t="e">
        <f>SUM(BG!C12/ER!C10)*360</f>
        <v>#DIV/0!</v>
      </c>
      <c r="D19" s="121" t="e">
        <f>SUM(BG!D12/ER!D10)*360</f>
        <v>#DIV/0!</v>
      </c>
      <c r="E19" s="121" t="e">
        <f>SUM(BG!E12/ER!E10)*360</f>
        <v>#DIV/0!</v>
      </c>
      <c r="F19" s="121" t="e">
        <f>SUM(BG!F12/ER!F10)*360</f>
        <v>#DIV/0!</v>
      </c>
      <c r="G19" s="121" t="e">
        <f>SUM(BG!G12/ER!G10)*360</f>
        <v>#DIV/0!</v>
      </c>
      <c r="H19" s="121"/>
      <c r="I19" s="176" t="e">
        <f t="shared" ref="I19:I21" si="6">(+C19/B19)-1</f>
        <v>#DIV/0!</v>
      </c>
      <c r="J19" s="176" t="e">
        <f t="shared" ref="J19" si="7">(+D19/C19)-1</f>
        <v>#DIV/0!</v>
      </c>
      <c r="K19" s="176" t="e">
        <f t="shared" ref="K19:M19" si="8">(+E19/D19)-1</f>
        <v>#DIV/0!</v>
      </c>
      <c r="L19" s="176" t="e">
        <f t="shared" si="8"/>
        <v>#DIV/0!</v>
      </c>
      <c r="M19" s="176" t="e">
        <f t="shared" si="8"/>
        <v>#DIV/0!</v>
      </c>
    </row>
    <row r="20" spans="1:14">
      <c r="A20" s="116" t="s">
        <v>239</v>
      </c>
      <c r="B20" s="121" t="e">
        <f>(+BG!B15/ER!B12)*360</f>
        <v>#DIV/0!</v>
      </c>
      <c r="C20" s="121" t="e">
        <f>(+BG!C13/ER!C12)*360</f>
        <v>#DIV/0!</v>
      </c>
      <c r="D20" s="121" t="e">
        <f>(+BG!D13/ER!D12)*360</f>
        <v>#DIV/0!</v>
      </c>
      <c r="E20" s="121" t="e">
        <f>(+BG!E13/ER!E12)*360</f>
        <v>#DIV/0!</v>
      </c>
      <c r="F20" s="121" t="e">
        <f>(+BG!F13/ER!F12)*360</f>
        <v>#DIV/0!</v>
      </c>
      <c r="G20" s="121" t="e">
        <f>(+BG!G13/ER!G12)*360</f>
        <v>#DIV/0!</v>
      </c>
      <c r="H20" s="121"/>
      <c r="I20" s="176" t="e">
        <f t="shared" si="6"/>
        <v>#DIV/0!</v>
      </c>
      <c r="J20" s="176" t="e">
        <f t="shared" ref="J20:J21" si="9">(+D20/C20)-1</f>
        <v>#DIV/0!</v>
      </c>
      <c r="K20" s="176" t="e">
        <f t="shared" ref="K20:L20" si="10">(+E20/D20)-1</f>
        <v>#DIV/0!</v>
      </c>
      <c r="L20" s="176" t="e">
        <f t="shared" si="10"/>
        <v>#DIV/0!</v>
      </c>
      <c r="M20" s="176" t="e">
        <f>(+G20/F20)-1</f>
        <v>#DIV/0!</v>
      </c>
    </row>
    <row r="21" spans="1:14">
      <c r="A21" s="116" t="s">
        <v>240</v>
      </c>
      <c r="B21" s="121" t="e">
        <f>SUM(BG!B34/ER!B12)*360</f>
        <v>#DIV/0!</v>
      </c>
      <c r="C21" s="121" t="e">
        <f>SUM(BG!C35/ER!C12)*360</f>
        <v>#DIV/0!</v>
      </c>
      <c r="D21" s="121" t="e">
        <f>SUM(BG!D35/ER!D12)*360</f>
        <v>#DIV/0!</v>
      </c>
      <c r="E21" s="121" t="e">
        <f>SUM(BG!E35/ER!E12)*360</f>
        <v>#DIV/0!</v>
      </c>
      <c r="F21" s="121" t="e">
        <f>SUM(BG!F35/ER!F12)*360</f>
        <v>#DIV/0!</v>
      </c>
      <c r="G21" s="121" t="e">
        <f>SUM(BG!G35/ER!G12)*360</f>
        <v>#DIV/0!</v>
      </c>
      <c r="H21" s="121"/>
      <c r="I21" s="176" t="e">
        <f t="shared" si="6"/>
        <v>#DIV/0!</v>
      </c>
      <c r="J21" s="176" t="e">
        <f t="shared" si="9"/>
        <v>#DIV/0!</v>
      </c>
      <c r="K21" s="176" t="e">
        <f>(+E21/D21)-1</f>
        <v>#DIV/0!</v>
      </c>
      <c r="L21" s="176" t="e">
        <f>(+F21/E21)-1</f>
        <v>#DIV/0!</v>
      </c>
      <c r="M21" s="176" t="e">
        <f>(+G21/F21)-1</f>
        <v>#DIV/0!</v>
      </c>
    </row>
    <row r="22" spans="1:14">
      <c r="A22" s="116"/>
      <c r="B22" s="121"/>
      <c r="C22" s="121"/>
      <c r="D22" s="121"/>
      <c r="E22" s="121"/>
      <c r="F22" s="121"/>
      <c r="G22" s="121"/>
      <c r="H22" s="121"/>
      <c r="I22" s="176"/>
      <c r="J22" s="176"/>
      <c r="K22" s="176"/>
      <c r="L22" s="176"/>
      <c r="M22" s="176"/>
    </row>
    <row r="23" spans="1:14">
      <c r="A23" s="116"/>
      <c r="B23" s="86"/>
      <c r="D23" s="114"/>
      <c r="E23" s="114"/>
      <c r="F23" s="114"/>
      <c r="G23" s="114"/>
      <c r="H23" s="122"/>
      <c r="J23" s="86"/>
      <c r="K23" s="86"/>
      <c r="L23" s="86"/>
      <c r="M23" s="86"/>
    </row>
    <row r="24" spans="1:14" ht="13">
      <c r="A24" s="119" t="s">
        <v>241</v>
      </c>
      <c r="B24" s="122"/>
      <c r="C24" s="122"/>
      <c r="D24" s="122"/>
      <c r="E24" s="122"/>
      <c r="F24" s="122"/>
      <c r="G24" s="122"/>
      <c r="H24" s="117"/>
      <c r="I24" s="122"/>
      <c r="J24" s="122"/>
      <c r="K24" s="122"/>
      <c r="L24" s="122"/>
      <c r="M24" s="122"/>
    </row>
    <row r="25" spans="1:14" ht="8" customHeight="1">
      <c r="A25" s="116"/>
      <c r="B25" s="123"/>
      <c r="C25" s="117"/>
      <c r="D25" s="114"/>
      <c r="E25" s="114"/>
      <c r="F25" s="114"/>
      <c r="G25" s="114"/>
      <c r="H25" s="117"/>
      <c r="I25" s="117"/>
      <c r="J25" s="117"/>
      <c r="K25" s="117"/>
      <c r="L25" s="117"/>
      <c r="M25" s="117"/>
    </row>
    <row r="26" spans="1:14">
      <c r="A26" s="116" t="s">
        <v>242</v>
      </c>
      <c r="B26" s="118" t="e">
        <f>+BG!B21/BG!B42</f>
        <v>#DIV/0!</v>
      </c>
      <c r="C26" s="118" t="e">
        <f>+BG!C21/BG!C42</f>
        <v>#DIV/0!</v>
      </c>
      <c r="D26" s="118" t="e">
        <f>+BG!D21/BG!D42</f>
        <v>#DIV/0!</v>
      </c>
      <c r="E26" s="118" t="e">
        <f>+BG!E21/BG!E42</f>
        <v>#DIV/0!</v>
      </c>
      <c r="F26" s="118" t="e">
        <f>+BG!F21/BG!F42</f>
        <v>#DIV/0!</v>
      </c>
      <c r="G26" s="118" t="e">
        <f>+BG!G21/BG!G42</f>
        <v>#DIV/0!</v>
      </c>
      <c r="H26" s="124"/>
      <c r="I26" s="176" t="e">
        <f t="shared" ref="I26:I34" si="11">(+C26/B26)-1</f>
        <v>#DIV/0!</v>
      </c>
      <c r="J26" s="176" t="e">
        <f t="shared" ref="J26" si="12">(+D26/C26)-1</f>
        <v>#DIV/0!</v>
      </c>
      <c r="K26" s="176" t="e">
        <f>(+E26/D26)-1</f>
        <v>#DIV/0!</v>
      </c>
      <c r="L26" s="176" t="e">
        <f>(+F26/E26)-1</f>
        <v>#DIV/0!</v>
      </c>
      <c r="M26" s="176" t="e">
        <f>(+G26/F26)-1</f>
        <v>#DIV/0!</v>
      </c>
    </row>
    <row r="27" spans="1:14">
      <c r="A27" s="116" t="s">
        <v>112</v>
      </c>
      <c r="B27" s="118" t="e">
        <f>+ER!B10/RF!B12</f>
        <v>#DIV/0!</v>
      </c>
      <c r="C27" s="118" t="e">
        <f>+ER!C10/RF!C12</f>
        <v>#DIV/0!</v>
      </c>
      <c r="D27" s="118" t="e">
        <f>+ER!D10/RF!D12</f>
        <v>#DIV/0!</v>
      </c>
      <c r="E27" s="118" t="e">
        <f>+ER!E10/RF!E12</f>
        <v>#DIV/0!</v>
      </c>
      <c r="F27" s="118" t="e">
        <f>+ER!F10/RF!F12</f>
        <v>#DIV/0!</v>
      </c>
      <c r="G27" s="118" t="e">
        <f>+ER!G10/RF!G12</f>
        <v>#DIV/0!</v>
      </c>
      <c r="H27" s="124"/>
      <c r="I27" s="176" t="e">
        <f t="shared" si="11"/>
        <v>#DIV/0!</v>
      </c>
      <c r="J27" s="176" t="e">
        <f t="shared" ref="J27:J34" si="13">(+D27/C27)-1</f>
        <v>#DIV/0!</v>
      </c>
      <c r="K27" s="176" t="e">
        <f t="shared" ref="K27:M34" si="14">(+E27/D27)-1</f>
        <v>#DIV/0!</v>
      </c>
      <c r="L27" s="176" t="e">
        <f t="shared" si="14"/>
        <v>#DIV/0!</v>
      </c>
      <c r="M27" s="176" t="e">
        <f t="shared" si="14"/>
        <v>#DIV/0!</v>
      </c>
    </row>
    <row r="28" spans="1:14">
      <c r="A28" s="116" t="s">
        <v>245</v>
      </c>
      <c r="B28" s="115">
        <f>+ER!B10</f>
        <v>0</v>
      </c>
      <c r="C28" s="115">
        <f>+ER!C10</f>
        <v>0</v>
      </c>
      <c r="D28" s="115">
        <f>+ER!D10</f>
        <v>0</v>
      </c>
      <c r="E28" s="115">
        <f>+ER!E10</f>
        <v>0</v>
      </c>
      <c r="F28" s="115">
        <f>+ER!F10</f>
        <v>0</v>
      </c>
      <c r="G28" s="115">
        <f>+ER!G10</f>
        <v>0</v>
      </c>
      <c r="H28" s="124"/>
      <c r="I28" s="176" t="e">
        <f t="shared" si="11"/>
        <v>#DIV/0!</v>
      </c>
      <c r="J28" s="176" t="e">
        <f t="shared" si="13"/>
        <v>#DIV/0!</v>
      </c>
      <c r="K28" s="176" t="e">
        <f t="shared" si="14"/>
        <v>#DIV/0!</v>
      </c>
      <c r="L28" s="176" t="e">
        <f t="shared" si="14"/>
        <v>#DIV/0!</v>
      </c>
      <c r="M28" s="176" t="e">
        <f t="shared" si="14"/>
        <v>#DIV/0!</v>
      </c>
      <c r="N28" s="231"/>
    </row>
    <row r="29" spans="1:14">
      <c r="A29" s="116" t="s">
        <v>246</v>
      </c>
      <c r="B29" s="115">
        <f>+ER!B35</f>
        <v>0</v>
      </c>
      <c r="C29" s="115">
        <f>+ER!C35</f>
        <v>0</v>
      </c>
      <c r="D29" s="115">
        <f>+ER!D35</f>
        <v>0</v>
      </c>
      <c r="E29" s="115">
        <f>+ER!E35</f>
        <v>0</v>
      </c>
      <c r="F29" s="115">
        <f>+ER!F35</f>
        <v>0</v>
      </c>
      <c r="G29" s="115">
        <f>+ER!G35</f>
        <v>0</v>
      </c>
      <c r="H29" s="124"/>
      <c r="I29" s="176" t="e">
        <f t="shared" si="11"/>
        <v>#DIV/0!</v>
      </c>
      <c r="J29" s="176" t="e">
        <f t="shared" si="13"/>
        <v>#DIV/0!</v>
      </c>
      <c r="K29" s="176" t="e">
        <f t="shared" si="14"/>
        <v>#DIV/0!</v>
      </c>
      <c r="L29" s="176" t="e">
        <f t="shared" si="14"/>
        <v>#DIV/0!</v>
      </c>
      <c r="M29" s="176" t="e">
        <f t="shared" si="14"/>
        <v>#DIV/0!</v>
      </c>
      <c r="N29" s="231"/>
    </row>
    <row r="30" spans="1:14">
      <c r="A30" s="116" t="s">
        <v>205</v>
      </c>
      <c r="B30" s="121" t="e">
        <f>+B19+B20-B21</f>
        <v>#DIV/0!</v>
      </c>
      <c r="C30" s="121" t="e">
        <f>+C19+C20-C21</f>
        <v>#DIV/0!</v>
      </c>
      <c r="D30" s="121" t="e">
        <f t="shared" ref="D30:E30" si="15">+D19+D20-D21</f>
        <v>#DIV/0!</v>
      </c>
      <c r="E30" s="121" t="e">
        <f t="shared" si="15"/>
        <v>#DIV/0!</v>
      </c>
      <c r="F30" s="121" t="e">
        <f>+F19+F20-F21</f>
        <v>#DIV/0!</v>
      </c>
      <c r="G30" s="121" t="e">
        <f>+G19+G20-G21</f>
        <v>#DIV/0!</v>
      </c>
      <c r="H30" s="114"/>
      <c r="I30" s="176" t="e">
        <f t="shared" si="11"/>
        <v>#DIV/0!</v>
      </c>
      <c r="J30" s="176" t="e">
        <f t="shared" si="13"/>
        <v>#DIV/0!</v>
      </c>
      <c r="K30" s="176" t="e">
        <f t="shared" si="14"/>
        <v>#DIV/0!</v>
      </c>
      <c r="L30" s="176" t="e">
        <f t="shared" si="14"/>
        <v>#DIV/0!</v>
      </c>
      <c r="M30" s="176" t="e">
        <f t="shared" si="14"/>
        <v>#DIV/0!</v>
      </c>
    </row>
    <row r="31" spans="1:14">
      <c r="A31" s="116" t="s">
        <v>140</v>
      </c>
      <c r="B31" s="177" t="e">
        <f t="shared" ref="B31:G31" si="16">+B29/B28</f>
        <v>#DIV/0!</v>
      </c>
      <c r="C31" s="177" t="e">
        <f t="shared" si="16"/>
        <v>#DIV/0!</v>
      </c>
      <c r="D31" s="177" t="e">
        <f t="shared" si="16"/>
        <v>#DIV/0!</v>
      </c>
      <c r="E31" s="177" t="e">
        <f t="shared" si="16"/>
        <v>#DIV/0!</v>
      </c>
      <c r="F31" s="177" t="e">
        <f t="shared" si="16"/>
        <v>#DIV/0!</v>
      </c>
      <c r="G31" s="177" t="e">
        <f t="shared" si="16"/>
        <v>#DIV/0!</v>
      </c>
      <c r="H31" s="114"/>
      <c r="I31" s="176" t="e">
        <f t="shared" si="11"/>
        <v>#DIV/0!</v>
      </c>
      <c r="J31" s="176" t="e">
        <f t="shared" si="13"/>
        <v>#DIV/0!</v>
      </c>
      <c r="K31" s="176" t="e">
        <f t="shared" si="14"/>
        <v>#DIV/0!</v>
      </c>
      <c r="L31" s="176" t="e">
        <f t="shared" si="14"/>
        <v>#DIV/0!</v>
      </c>
      <c r="M31" s="176" t="e">
        <f t="shared" si="14"/>
        <v>#DIV/0!</v>
      </c>
    </row>
    <row r="32" spans="1:14">
      <c r="A32" s="86" t="s">
        <v>146</v>
      </c>
      <c r="B32" s="177" t="e">
        <f>SUM(ER!B21/ER!B10)</f>
        <v>#DIV/0!</v>
      </c>
      <c r="C32" s="177" t="e">
        <f>SUM(ER!C21/ER!C10)</f>
        <v>#DIV/0!</v>
      </c>
      <c r="D32" s="177" t="e">
        <f>SUM(ER!D21/ER!D10)</f>
        <v>#DIV/0!</v>
      </c>
      <c r="E32" s="177" t="e">
        <f>SUM(ER!E21/ER!E10)</f>
        <v>#DIV/0!</v>
      </c>
      <c r="F32" s="177" t="e">
        <f>SUM(ER!F21/ER!F10)</f>
        <v>#DIV/0!</v>
      </c>
      <c r="G32" s="177" t="e">
        <f>SUM(ER!G21/ER!G10)</f>
        <v>#DIV/0!</v>
      </c>
      <c r="H32" s="115"/>
      <c r="I32" s="176" t="e">
        <f t="shared" si="11"/>
        <v>#DIV/0!</v>
      </c>
      <c r="J32" s="176" t="e">
        <f t="shared" si="13"/>
        <v>#DIV/0!</v>
      </c>
      <c r="K32" s="176" t="e">
        <f t="shared" si="14"/>
        <v>#DIV/0!</v>
      </c>
      <c r="L32" s="176" t="e">
        <f t="shared" si="14"/>
        <v>#DIV/0!</v>
      </c>
      <c r="M32" s="176" t="e">
        <f t="shared" si="14"/>
        <v>#DIV/0!</v>
      </c>
    </row>
    <row r="33" spans="1:13">
      <c r="A33" s="116" t="s">
        <v>154</v>
      </c>
      <c r="B33" s="177" t="e">
        <f t="shared" ref="B33:G33" si="17">+B29/B12</f>
        <v>#DIV/0!</v>
      </c>
      <c r="C33" s="177" t="e">
        <f t="shared" si="17"/>
        <v>#DIV/0!</v>
      </c>
      <c r="D33" s="177" t="e">
        <f t="shared" si="17"/>
        <v>#DIV/0!</v>
      </c>
      <c r="E33" s="177" t="e">
        <f t="shared" si="17"/>
        <v>#DIV/0!</v>
      </c>
      <c r="F33" s="177" t="e">
        <f t="shared" si="17"/>
        <v>#DIV/0!</v>
      </c>
      <c r="G33" s="177" t="e">
        <f t="shared" si="17"/>
        <v>#DIV/0!</v>
      </c>
      <c r="H33" s="117"/>
      <c r="I33" s="176" t="e">
        <f t="shared" si="11"/>
        <v>#DIV/0!</v>
      </c>
      <c r="J33" s="176" t="e">
        <f t="shared" si="13"/>
        <v>#DIV/0!</v>
      </c>
      <c r="K33" s="176" t="e">
        <f t="shared" si="14"/>
        <v>#DIV/0!</v>
      </c>
      <c r="L33" s="176" t="e">
        <f t="shared" si="14"/>
        <v>#DIV/0!</v>
      </c>
      <c r="M33" s="176" t="e">
        <f>(+G33/F33)-1</f>
        <v>#DIV/0!</v>
      </c>
    </row>
    <row r="34" spans="1:13">
      <c r="A34" s="116" t="s">
        <v>150</v>
      </c>
      <c r="B34" s="177" t="e">
        <f>+B29/BG!B62</f>
        <v>#DIV/0!</v>
      </c>
      <c r="C34" s="177" t="e">
        <f>+C29/BG!C62</f>
        <v>#DIV/0!</v>
      </c>
      <c r="D34" s="177" t="e">
        <f>+D29/BG!D62</f>
        <v>#DIV/0!</v>
      </c>
      <c r="E34" s="177" t="e">
        <f>+E29/BG!E62</f>
        <v>#DIV/0!</v>
      </c>
      <c r="F34" s="177" t="e">
        <f>+F29/BG!F62</f>
        <v>#DIV/0!</v>
      </c>
      <c r="G34" s="177" t="e">
        <f>+G29/BG!G62</f>
        <v>#DIV/0!</v>
      </c>
      <c r="H34" s="86"/>
      <c r="I34" s="176" t="e">
        <f t="shared" si="11"/>
        <v>#DIV/0!</v>
      </c>
      <c r="J34" s="176" t="e">
        <f t="shared" si="13"/>
        <v>#DIV/0!</v>
      </c>
      <c r="K34" s="176" t="e">
        <f t="shared" si="14"/>
        <v>#DIV/0!</v>
      </c>
      <c r="L34" s="176" t="e">
        <f>(+F34/E34)-1</f>
        <v>#DIV/0!</v>
      </c>
      <c r="M34" s="176" t="e">
        <f>(+G34/F34)-1</f>
        <v>#DIV/0!</v>
      </c>
    </row>
    <row r="35" spans="1:13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</row>
    <row r="36" spans="1:13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</row>
    <row r="37" spans="1:13" s="86" customFormat="1">
      <c r="A37" s="116" t="s">
        <v>360</v>
      </c>
      <c r="D37" s="114" t="e">
        <f>+D29/D38</f>
        <v>#DIV/0!</v>
      </c>
      <c r="E37" s="114" t="e">
        <f>+E29/E38</f>
        <v>#DIV/0!</v>
      </c>
      <c r="F37" s="114" t="e">
        <f>+F29/F38</f>
        <v>#DIV/0!</v>
      </c>
      <c r="G37" s="114" t="e">
        <f>+G29/G38</f>
        <v>#DIV/0!</v>
      </c>
    </row>
    <row r="38" spans="1:13" s="86" customFormat="1">
      <c r="A38" s="86" t="s">
        <v>361</v>
      </c>
      <c r="D38" s="115">
        <v>0</v>
      </c>
      <c r="E38" s="115">
        <v>0</v>
      </c>
      <c r="F38" s="115">
        <v>0</v>
      </c>
      <c r="G38" s="115">
        <v>0</v>
      </c>
    </row>
    <row r="39" spans="1:13" s="86" customFormat="1"/>
    <row r="40" spans="1:13" s="86" customFormat="1">
      <c r="A40" s="86" t="s">
        <v>362</v>
      </c>
      <c r="E40" s="231">
        <f>AVERAGE(D29:F29)</f>
        <v>0</v>
      </c>
      <c r="F40" s="86" t="e">
        <f>+E40/E38</f>
        <v>#DIV/0!</v>
      </c>
    </row>
    <row r="41" spans="1:13" s="86" customFormat="1">
      <c r="A41" s="86" t="s">
        <v>363</v>
      </c>
      <c r="E41" s="231">
        <f>AVERAGE(E29:F29)</f>
        <v>0</v>
      </c>
      <c r="F41" s="86" t="e">
        <f>+E41/E38</f>
        <v>#DIV/0!</v>
      </c>
    </row>
    <row r="42" spans="1:13" s="86" customFormat="1"/>
    <row r="43" spans="1:13" s="86" customFormat="1"/>
    <row r="44" spans="1:13" s="86" customFormat="1"/>
    <row r="45" spans="1:13" s="86" customFormat="1"/>
    <row r="46" spans="1:13" s="86" customFormat="1"/>
    <row r="47" spans="1:13" s="86" customFormat="1"/>
    <row r="48" spans="1:13" s="86" customFormat="1"/>
    <row r="49" s="86" customFormat="1"/>
    <row r="50" s="86" customFormat="1"/>
  </sheetData>
  <phoneticPr fontId="5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D53F-207A-D848-B324-261302002796}">
  <sheetPr codeName="Hoja6">
    <pageSetUpPr fitToPage="1"/>
  </sheetPr>
  <dimension ref="A1:AS79"/>
  <sheetViews>
    <sheetView zoomScale="50" zoomScaleNormal="50" workbookViewId="0">
      <selection activeCell="B2" sqref="B2:B7"/>
    </sheetView>
  </sheetViews>
  <sheetFormatPr baseColWidth="10" defaultColWidth="10.81640625" defaultRowHeight="15.5" outlineLevelCol="1"/>
  <cols>
    <col min="1" max="1" width="10.81640625" style="4" customWidth="1"/>
    <col min="2" max="2" width="48.7265625" style="4" customWidth="1"/>
    <col min="3" max="3" width="42.1796875" style="4" customWidth="1"/>
    <col min="4" max="8" width="37.36328125" style="4" customWidth="1" outlineLevel="1"/>
    <col min="9" max="9" width="5.6328125" style="4" customWidth="1"/>
    <col min="10" max="10" width="14" style="76" bestFit="1" customWidth="1"/>
    <col min="11" max="14" width="10.81640625" style="4"/>
    <col min="15" max="15" width="13.1796875" style="4" bestFit="1" customWidth="1"/>
    <col min="16" max="16384" width="10.81640625" style="4"/>
  </cols>
  <sheetData>
    <row r="1" spans="1:25" s="1" customFormat="1" ht="25">
      <c r="B1" s="2" t="s">
        <v>355</v>
      </c>
      <c r="J1" s="3"/>
    </row>
    <row r="2" spans="1:25" ht="18">
      <c r="B2" s="5" t="s">
        <v>16</v>
      </c>
    </row>
    <row r="3" spans="1:25">
      <c r="B3" s="6" t="s">
        <v>17</v>
      </c>
    </row>
    <row r="4" spans="1:25">
      <c r="B4" s="6" t="s">
        <v>18</v>
      </c>
      <c r="C4" s="7"/>
      <c r="J4" s="77"/>
      <c r="O4" s="9"/>
    </row>
    <row r="5" spans="1:25">
      <c r="B5" s="71" t="s">
        <v>19</v>
      </c>
      <c r="C5" s="7"/>
      <c r="O5" s="9"/>
    </row>
    <row r="6" spans="1:25">
      <c r="B6" s="6" t="s">
        <v>20</v>
      </c>
      <c r="C6" s="7"/>
    </row>
    <row r="7" spans="1:25">
      <c r="B7" s="6" t="s">
        <v>21</v>
      </c>
      <c r="C7" s="7"/>
    </row>
    <row r="8" spans="1:25">
      <c r="B8" s="10"/>
      <c r="C8" s="7"/>
    </row>
    <row r="9" spans="1:25" s="11" customFormat="1" ht="20">
      <c r="B9" s="12" t="s">
        <v>22</v>
      </c>
    </row>
    <row r="10" spans="1:25" s="15" customFormat="1">
      <c r="A10" s="13" t="s">
        <v>24</v>
      </c>
      <c r="B10" s="13" t="s">
        <v>23</v>
      </c>
      <c r="C10" s="13" t="s">
        <v>197</v>
      </c>
      <c r="D10" s="13">
        <v>1</v>
      </c>
      <c r="E10" s="13">
        <v>2</v>
      </c>
      <c r="F10" s="13">
        <v>3</v>
      </c>
      <c r="G10" s="13">
        <v>4</v>
      </c>
      <c r="H10" s="13">
        <v>5</v>
      </c>
      <c r="I10" s="14"/>
      <c r="J10" s="78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71" customHeight="1">
      <c r="A11" s="241">
        <v>0.2</v>
      </c>
      <c r="B11" s="255" t="s">
        <v>25</v>
      </c>
      <c r="C11" s="241">
        <f>+D12</f>
        <v>0.2</v>
      </c>
      <c r="D11" s="16" t="s">
        <v>26</v>
      </c>
      <c r="E11" s="16" t="s">
        <v>27</v>
      </c>
      <c r="F11" s="16" t="s">
        <v>28</v>
      </c>
      <c r="G11" s="16" t="s">
        <v>29</v>
      </c>
      <c r="H11" s="16" t="s">
        <v>30</v>
      </c>
    </row>
    <row r="12" spans="1:25" ht="71" customHeight="1">
      <c r="A12" s="244"/>
      <c r="B12" s="256"/>
      <c r="C12" s="244"/>
      <c r="D12" s="17">
        <f>$A$11*1</f>
        <v>0.2</v>
      </c>
      <c r="E12" s="17">
        <f>$A$11*0.75</f>
        <v>0.15000000000000002</v>
      </c>
      <c r="F12" s="17">
        <f>$A$11*0.5</f>
        <v>0.1</v>
      </c>
      <c r="G12" s="18">
        <f>$A$11*0.25</f>
        <v>0.05</v>
      </c>
      <c r="H12" s="18">
        <v>0</v>
      </c>
      <c r="J12" s="79"/>
    </row>
    <row r="13" spans="1:25" ht="71" customHeight="1">
      <c r="A13" s="254">
        <v>0.1</v>
      </c>
      <c r="B13" s="255" t="s">
        <v>31</v>
      </c>
      <c r="C13" s="241">
        <f>+D14</f>
        <v>0.1</v>
      </c>
      <c r="D13" s="16" t="s">
        <v>26</v>
      </c>
      <c r="E13" s="16" t="s">
        <v>27</v>
      </c>
      <c r="F13" s="16" t="s">
        <v>28</v>
      </c>
      <c r="G13" s="16" t="s">
        <v>32</v>
      </c>
      <c r="H13" s="16" t="s">
        <v>30</v>
      </c>
    </row>
    <row r="14" spans="1:25" ht="71" customHeight="1">
      <c r="A14" s="244"/>
      <c r="B14" s="256"/>
      <c r="C14" s="244"/>
      <c r="D14" s="17">
        <f>$A$13*1</f>
        <v>0.1</v>
      </c>
      <c r="E14" s="17">
        <f>$A$13*0.75</f>
        <v>7.5000000000000011E-2</v>
      </c>
      <c r="F14" s="17">
        <f>$A$13*0.5</f>
        <v>0.05</v>
      </c>
      <c r="G14" s="17">
        <f>$A$13*0.25</f>
        <v>2.5000000000000001E-2</v>
      </c>
      <c r="H14" s="18">
        <v>0</v>
      </c>
      <c r="J14" s="77"/>
    </row>
    <row r="15" spans="1:25" ht="43" customHeight="1">
      <c r="A15" s="254"/>
      <c r="B15" s="255" t="s">
        <v>33</v>
      </c>
      <c r="C15" s="241">
        <f>+H16</f>
        <v>0</v>
      </c>
      <c r="D15" s="16" t="s">
        <v>34</v>
      </c>
      <c r="E15" s="16" t="s">
        <v>35</v>
      </c>
      <c r="F15" s="16" t="s">
        <v>36</v>
      </c>
      <c r="G15" s="16" t="s">
        <v>37</v>
      </c>
      <c r="H15" s="16" t="s">
        <v>38</v>
      </c>
      <c r="I15" s="19"/>
    </row>
    <row r="16" spans="1:25" ht="43" customHeight="1">
      <c r="A16" s="244"/>
      <c r="B16" s="256"/>
      <c r="C16" s="244"/>
      <c r="D16" s="17">
        <f>$A$15*1</f>
        <v>0</v>
      </c>
      <c r="E16" s="17">
        <f>$A$15*0.75</f>
        <v>0</v>
      </c>
      <c r="F16" s="17">
        <f>$A$15*0.5</f>
        <v>0</v>
      </c>
      <c r="G16" s="17">
        <f>$A$15*0.25</f>
        <v>0</v>
      </c>
      <c r="H16" s="18">
        <v>0</v>
      </c>
      <c r="I16" s="19"/>
      <c r="J16" s="79"/>
    </row>
    <row r="17" spans="1:11" ht="62">
      <c r="A17" s="254">
        <v>0.05</v>
      </c>
      <c r="B17" s="255" t="s">
        <v>39</v>
      </c>
      <c r="C17" s="241">
        <f>+E18</f>
        <v>3.7500000000000006E-2</v>
      </c>
      <c r="D17" s="16" t="s">
        <v>40</v>
      </c>
      <c r="E17" s="16" t="s">
        <v>41</v>
      </c>
      <c r="F17" s="16" t="s">
        <v>42</v>
      </c>
      <c r="G17" s="16" t="s">
        <v>43</v>
      </c>
      <c r="H17" s="16" t="s">
        <v>44</v>
      </c>
    </row>
    <row r="18" spans="1:11">
      <c r="A18" s="244"/>
      <c r="B18" s="256"/>
      <c r="C18" s="244"/>
      <c r="D18" s="17">
        <f>$A$17*1</f>
        <v>0.05</v>
      </c>
      <c r="E18" s="17">
        <f>$A$17*0.75</f>
        <v>3.7500000000000006E-2</v>
      </c>
      <c r="F18" s="17">
        <f>$A$17*0.5</f>
        <v>2.5000000000000001E-2</v>
      </c>
      <c r="G18" s="17">
        <f>$A$17*0.25</f>
        <v>1.2500000000000001E-2</v>
      </c>
      <c r="H18" s="18">
        <v>0</v>
      </c>
      <c r="J18" s="77"/>
    </row>
    <row r="19" spans="1:11" ht="46.5">
      <c r="A19" s="254">
        <v>0.05</v>
      </c>
      <c r="B19" s="255" t="s">
        <v>45</v>
      </c>
      <c r="C19" s="254">
        <f>+E20</f>
        <v>3.7500000000000006E-2</v>
      </c>
      <c r="D19" s="16" t="s">
        <v>46</v>
      </c>
      <c r="E19" s="20" t="s">
        <v>47</v>
      </c>
      <c r="F19" s="20" t="s">
        <v>48</v>
      </c>
      <c r="G19" s="20" t="s">
        <v>49</v>
      </c>
      <c r="H19" s="20" t="s">
        <v>50</v>
      </c>
    </row>
    <row r="20" spans="1:11">
      <c r="A20" s="244"/>
      <c r="B20" s="256"/>
      <c r="C20" s="244"/>
      <c r="D20" s="17">
        <f>$A$19*1</f>
        <v>0.05</v>
      </c>
      <c r="E20" s="17">
        <f>$A$19*0.75</f>
        <v>3.7500000000000006E-2</v>
      </c>
      <c r="F20" s="17">
        <f>$A$19*0.5</f>
        <v>2.5000000000000001E-2</v>
      </c>
      <c r="G20" s="17">
        <f>$A$19*0.25</f>
        <v>1.2500000000000001E-2</v>
      </c>
      <c r="H20" s="18">
        <v>0</v>
      </c>
      <c r="J20" s="79"/>
    </row>
    <row r="21" spans="1:11">
      <c r="A21" s="21"/>
      <c r="B21" s="22"/>
      <c r="C21" s="21"/>
      <c r="D21" s="23"/>
      <c r="E21" s="23"/>
      <c r="F21" s="23"/>
      <c r="G21" s="23"/>
      <c r="H21" s="24"/>
    </row>
    <row r="22" spans="1:11">
      <c r="B22" s="25"/>
      <c r="D22" s="26"/>
      <c r="E22" s="26"/>
      <c r="F22" s="26"/>
      <c r="G22" s="26"/>
      <c r="H22" s="26"/>
    </row>
    <row r="23" spans="1:11" s="11" customFormat="1" ht="20">
      <c r="B23" s="27" t="s">
        <v>51</v>
      </c>
    </row>
    <row r="24" spans="1:11" s="28" customFormat="1">
      <c r="B24" s="69" t="s">
        <v>23</v>
      </c>
      <c r="C24" s="69" t="s">
        <v>52</v>
      </c>
      <c r="D24" s="70">
        <v>1</v>
      </c>
      <c r="E24" s="70">
        <v>2</v>
      </c>
      <c r="F24" s="70">
        <v>3</v>
      </c>
      <c r="G24" s="70">
        <v>4</v>
      </c>
      <c r="H24" s="70">
        <v>5</v>
      </c>
    </row>
    <row r="25" spans="1:11">
      <c r="A25" s="241">
        <v>0.05</v>
      </c>
      <c r="B25" s="250" t="s">
        <v>53</v>
      </c>
      <c r="C25" s="241">
        <f>+G26</f>
        <v>1.2500000000000001E-2</v>
      </c>
      <c r="D25" s="16" t="s">
        <v>54</v>
      </c>
      <c r="E25" s="16" t="s">
        <v>55</v>
      </c>
      <c r="F25" s="16" t="s">
        <v>56</v>
      </c>
      <c r="G25" s="16" t="s">
        <v>57</v>
      </c>
      <c r="H25" s="16" t="s">
        <v>58</v>
      </c>
    </row>
    <row r="26" spans="1:11">
      <c r="A26" s="241"/>
      <c r="B26" s="251"/>
      <c r="C26" s="244"/>
      <c r="D26" s="17">
        <f>$A$25*1</f>
        <v>0.05</v>
      </c>
      <c r="E26" s="17">
        <f>$A$25*0.75</f>
        <v>3.7500000000000006E-2</v>
      </c>
      <c r="F26" s="17">
        <f>$A$25*0.5</f>
        <v>2.5000000000000001E-2</v>
      </c>
      <c r="G26" s="17">
        <f>$A$25*0.25</f>
        <v>1.2500000000000001E-2</v>
      </c>
      <c r="H26" s="17">
        <v>0</v>
      </c>
      <c r="I26" s="29"/>
      <c r="J26" s="80">
        <f>+RF!E12</f>
        <v>0</v>
      </c>
    </row>
    <row r="27" spans="1:11">
      <c r="A27" s="241">
        <v>0.05</v>
      </c>
      <c r="B27" s="250" t="s">
        <v>59</v>
      </c>
      <c r="C27" s="241">
        <f>+D28</f>
        <v>0.05</v>
      </c>
      <c r="D27" s="16" t="s">
        <v>60</v>
      </c>
      <c r="E27" s="16" t="s">
        <v>61</v>
      </c>
      <c r="F27" s="16" t="s">
        <v>62</v>
      </c>
      <c r="G27" s="16" t="s">
        <v>63</v>
      </c>
      <c r="H27" s="16" t="s">
        <v>64</v>
      </c>
    </row>
    <row r="28" spans="1:11">
      <c r="A28" s="241"/>
      <c r="B28" s="251"/>
      <c r="C28" s="244"/>
      <c r="D28" s="17">
        <f>$A$27*1</f>
        <v>0.05</v>
      </c>
      <c r="E28" s="17">
        <f>$A$27*0.75</f>
        <v>3.7500000000000006E-2</v>
      </c>
      <c r="F28" s="17">
        <f>$A$27*0.5</f>
        <v>2.5000000000000001E-2</v>
      </c>
      <c r="G28" s="17">
        <f>$A$27*0.25</f>
        <v>1.2500000000000001E-2</v>
      </c>
      <c r="H28" s="17">
        <v>0</v>
      </c>
      <c r="I28" s="30"/>
      <c r="J28" s="77" t="e">
        <f>+RF!E13</f>
        <v>#DIV/0!</v>
      </c>
    </row>
    <row r="29" spans="1:11">
      <c r="A29" s="249">
        <v>3.3500000000000002E-2</v>
      </c>
      <c r="B29" s="250" t="s">
        <v>65</v>
      </c>
      <c r="C29" s="241">
        <f>+D30</f>
        <v>3.3500000000000002E-2</v>
      </c>
      <c r="D29" s="16" t="s">
        <v>66</v>
      </c>
      <c r="E29" s="16" t="s">
        <v>67</v>
      </c>
      <c r="F29" s="16" t="s">
        <v>68</v>
      </c>
      <c r="G29" s="16" t="s">
        <v>69</v>
      </c>
      <c r="H29" s="16" t="s">
        <v>70</v>
      </c>
      <c r="J29" s="4"/>
    </row>
    <row r="30" spans="1:11">
      <c r="A30" s="249"/>
      <c r="B30" s="251"/>
      <c r="C30" s="244"/>
      <c r="D30" s="17">
        <f>$A$29*1</f>
        <v>3.3500000000000002E-2</v>
      </c>
      <c r="E30" s="17">
        <f>$A$29*0.75</f>
        <v>2.5125000000000001E-2</v>
      </c>
      <c r="F30" s="17">
        <f>$A$29*0.5</f>
        <v>1.6750000000000001E-2</v>
      </c>
      <c r="G30" s="17">
        <f>$A$29*0.25</f>
        <v>8.3750000000000005E-3</v>
      </c>
      <c r="H30" s="17">
        <v>0</v>
      </c>
      <c r="I30" s="30"/>
      <c r="J30" s="77" t="e">
        <f>+RF!K14</f>
        <v>#DIV/0!</v>
      </c>
    </row>
    <row r="31" spans="1:11">
      <c r="A31" s="249">
        <v>3.3500000000000002E-2</v>
      </c>
      <c r="B31" s="250" t="s">
        <v>71</v>
      </c>
      <c r="C31" s="241">
        <f>+D32</f>
        <v>3.3500000000000002E-2</v>
      </c>
      <c r="D31" s="16" t="s">
        <v>72</v>
      </c>
      <c r="E31" s="16" t="s">
        <v>73</v>
      </c>
      <c r="F31" s="16" t="s">
        <v>62</v>
      </c>
      <c r="G31" s="16" t="s">
        <v>74</v>
      </c>
      <c r="H31" s="16" t="s">
        <v>75</v>
      </c>
    </row>
    <row r="32" spans="1:11">
      <c r="A32" s="249"/>
      <c r="B32" s="251"/>
      <c r="C32" s="244"/>
      <c r="D32" s="17">
        <f>$A$31*1</f>
        <v>3.3500000000000002E-2</v>
      </c>
      <c r="E32" s="17">
        <f>$A$31*0.75</f>
        <v>2.5125000000000001E-2</v>
      </c>
      <c r="F32" s="17">
        <f>$A$31*0.5</f>
        <v>1.6750000000000001E-2</v>
      </c>
      <c r="G32" s="17">
        <f>$A$31*0.25</f>
        <v>8.3750000000000005E-3</v>
      </c>
      <c r="H32" s="17">
        <v>0</v>
      </c>
      <c r="I32" s="30"/>
      <c r="J32" s="77" t="e">
        <f>+RF!E15</f>
        <v>#DIV/0!</v>
      </c>
      <c r="K32" s="75"/>
    </row>
    <row r="33" spans="1:45" ht="31">
      <c r="A33" s="249">
        <v>3.3500000000000002E-2</v>
      </c>
      <c r="B33" s="250" t="s">
        <v>76</v>
      </c>
      <c r="C33" s="241">
        <f>+F34</f>
        <v>1.6750000000000001E-2</v>
      </c>
      <c r="D33" s="16" t="s">
        <v>77</v>
      </c>
      <c r="E33" s="16" t="s">
        <v>78</v>
      </c>
      <c r="F33" s="16" t="s">
        <v>79</v>
      </c>
      <c r="G33" s="16" t="s">
        <v>80</v>
      </c>
      <c r="H33" s="16" t="s">
        <v>81</v>
      </c>
      <c r="I33" s="31"/>
    </row>
    <row r="34" spans="1:45">
      <c r="A34" s="249"/>
      <c r="B34" s="251"/>
      <c r="C34" s="244"/>
      <c r="D34" s="17">
        <f>$A$33*1</f>
        <v>3.3500000000000002E-2</v>
      </c>
      <c r="E34" s="17">
        <f>$A$33*0.75</f>
        <v>2.5125000000000001E-2</v>
      </c>
      <c r="F34" s="17">
        <f>$A$33*0.5</f>
        <v>1.6750000000000001E-2</v>
      </c>
      <c r="G34" s="17">
        <f>$A$33*0.25</f>
        <v>8.3750000000000005E-3</v>
      </c>
      <c r="H34" s="17">
        <v>0</v>
      </c>
      <c r="I34" s="31"/>
    </row>
    <row r="35" spans="1:45" ht="31">
      <c r="A35" s="249">
        <v>3.3500000000000002E-2</v>
      </c>
      <c r="B35" s="250" t="s">
        <v>82</v>
      </c>
      <c r="C35" s="241">
        <f>+H36</f>
        <v>0</v>
      </c>
      <c r="D35" s="16" t="s">
        <v>83</v>
      </c>
      <c r="E35" s="16" t="s">
        <v>84</v>
      </c>
      <c r="F35" s="16" t="s">
        <v>85</v>
      </c>
      <c r="G35" s="16" t="s">
        <v>86</v>
      </c>
      <c r="H35" s="16" t="s">
        <v>87</v>
      </c>
    </row>
    <row r="36" spans="1:45">
      <c r="A36" s="249"/>
      <c r="B36" s="251"/>
      <c r="C36" s="244"/>
      <c r="D36" s="17">
        <f>$A$35*1</f>
        <v>3.3500000000000002E-2</v>
      </c>
      <c r="E36" s="17">
        <f>$A$35*0.75</f>
        <v>2.5125000000000001E-2</v>
      </c>
      <c r="F36" s="17">
        <f>$A$35*0.5</f>
        <v>1.6750000000000001E-2</v>
      </c>
      <c r="G36" s="17">
        <f>$A$35*0.25</f>
        <v>8.3750000000000005E-3</v>
      </c>
      <c r="H36" s="17">
        <v>0</v>
      </c>
    </row>
    <row r="37" spans="1:45" ht="31">
      <c r="A37" s="249">
        <v>3.3500000000000002E-2</v>
      </c>
      <c r="B37" s="250" t="s">
        <v>88</v>
      </c>
      <c r="C37" s="241">
        <f>+H38</f>
        <v>0</v>
      </c>
      <c r="D37" s="16" t="s">
        <v>89</v>
      </c>
      <c r="E37" s="16" t="s">
        <v>90</v>
      </c>
      <c r="F37" s="16" t="s">
        <v>91</v>
      </c>
      <c r="G37" s="16" t="s">
        <v>92</v>
      </c>
      <c r="H37" s="16" t="s">
        <v>93</v>
      </c>
    </row>
    <row r="38" spans="1:45">
      <c r="A38" s="249"/>
      <c r="B38" s="251"/>
      <c r="C38" s="244"/>
      <c r="D38" s="17">
        <f>$A$37*1</f>
        <v>3.3500000000000002E-2</v>
      </c>
      <c r="E38" s="17">
        <f>$A$37*0.75</f>
        <v>2.5125000000000001E-2</v>
      </c>
      <c r="F38" s="17">
        <f>$A$37*0.5</f>
        <v>1.6750000000000001E-2</v>
      </c>
      <c r="G38" s="17">
        <f>$A$37*0.25</f>
        <v>8.3750000000000005E-3</v>
      </c>
      <c r="H38" s="17">
        <v>0</v>
      </c>
    </row>
    <row r="39" spans="1:45" ht="31">
      <c r="A39" s="249">
        <v>3.3500000000000002E-2</v>
      </c>
      <c r="B39" s="250" t="s">
        <v>94</v>
      </c>
      <c r="C39" s="241">
        <f>+G40</f>
        <v>8.3750000000000005E-3</v>
      </c>
      <c r="D39" s="16" t="s">
        <v>95</v>
      </c>
      <c r="E39" s="16" t="s">
        <v>96</v>
      </c>
      <c r="F39" s="16" t="s">
        <v>97</v>
      </c>
      <c r="G39" s="16" t="s">
        <v>98</v>
      </c>
      <c r="H39" s="16" t="s">
        <v>99</v>
      </c>
    </row>
    <row r="40" spans="1:45">
      <c r="A40" s="249"/>
      <c r="B40" s="251"/>
      <c r="C40" s="244"/>
      <c r="D40" s="17">
        <f>$A$39*1</f>
        <v>3.3500000000000002E-2</v>
      </c>
      <c r="E40" s="17">
        <f>$A$39*0.75</f>
        <v>2.5125000000000001E-2</v>
      </c>
      <c r="F40" s="17">
        <f>$A$39*0.5</f>
        <v>1.6750000000000001E-2</v>
      </c>
      <c r="G40" s="17">
        <f>$A$39*0.25</f>
        <v>8.3750000000000005E-3</v>
      </c>
      <c r="H40" s="17">
        <v>0</v>
      </c>
      <c r="J40" s="77"/>
    </row>
    <row r="41" spans="1:45">
      <c r="A41" s="235"/>
      <c r="B41" s="236"/>
      <c r="C41" s="21"/>
      <c r="D41" s="23"/>
      <c r="E41" s="23"/>
      <c r="F41" s="23"/>
      <c r="G41" s="23"/>
      <c r="H41" s="23"/>
      <c r="J41" s="77"/>
    </row>
    <row r="43" spans="1:45" s="32" customFormat="1" ht="20">
      <c r="B43" s="32" t="s">
        <v>343</v>
      </c>
    </row>
    <row r="44" spans="1:45" s="33" customFormat="1">
      <c r="A44" s="4"/>
      <c r="B44" s="73" t="s">
        <v>23</v>
      </c>
      <c r="C44" s="73" t="s">
        <v>52</v>
      </c>
      <c r="D44" s="74">
        <v>1</v>
      </c>
      <c r="E44" s="74">
        <v>2</v>
      </c>
      <c r="F44" s="74">
        <v>3</v>
      </c>
      <c r="G44" s="74">
        <v>4</v>
      </c>
      <c r="H44" s="74">
        <v>5</v>
      </c>
      <c r="I44" s="14"/>
      <c r="J44" s="78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</row>
    <row r="45" spans="1:45">
      <c r="A45" s="241">
        <v>7.4999999999999997E-2</v>
      </c>
      <c r="B45" s="252" t="s">
        <v>100</v>
      </c>
      <c r="C45" s="241">
        <f>+F46</f>
        <v>3.7499999999999999E-2</v>
      </c>
      <c r="D45" s="16" t="s">
        <v>101</v>
      </c>
      <c r="E45" s="16" t="s">
        <v>102</v>
      </c>
      <c r="F45" s="16" t="s">
        <v>103</v>
      </c>
      <c r="G45" s="16" t="s">
        <v>104</v>
      </c>
      <c r="H45" s="16" t="s">
        <v>105</v>
      </c>
    </row>
    <row r="46" spans="1:45">
      <c r="A46" s="241"/>
      <c r="B46" s="253"/>
      <c r="C46" s="244"/>
      <c r="D46" s="17">
        <f>$A$45*1</f>
        <v>7.4999999999999997E-2</v>
      </c>
      <c r="E46" s="17">
        <f>$A$45*0.75</f>
        <v>5.6249999999999994E-2</v>
      </c>
      <c r="F46" s="17">
        <f>$A$45*0.5</f>
        <v>3.7499999999999999E-2</v>
      </c>
      <c r="G46" s="17">
        <f>$A$45*0.25</f>
        <v>1.8749999999999999E-2</v>
      </c>
      <c r="H46" s="17">
        <v>0</v>
      </c>
      <c r="J46" s="77"/>
    </row>
    <row r="47" spans="1:45">
      <c r="A47" s="241">
        <v>0.04</v>
      </c>
      <c r="B47" s="242" t="s">
        <v>106</v>
      </c>
      <c r="C47" s="245">
        <f>+D48</f>
        <v>0.04</v>
      </c>
      <c r="D47" s="16" t="s">
        <v>107</v>
      </c>
      <c r="E47" s="16" t="s">
        <v>108</v>
      </c>
      <c r="F47" s="16" t="s">
        <v>109</v>
      </c>
      <c r="G47" s="16" t="s">
        <v>110</v>
      </c>
      <c r="H47" s="16" t="s">
        <v>111</v>
      </c>
      <c r="J47" s="178" t="e">
        <f>+RF!E26</f>
        <v>#DIV/0!</v>
      </c>
    </row>
    <row r="48" spans="1:45">
      <c r="A48" s="241"/>
      <c r="B48" s="243"/>
      <c r="C48" s="246"/>
      <c r="D48" s="17">
        <f>$A$47*1</f>
        <v>0.04</v>
      </c>
      <c r="E48" s="17">
        <f>$A$47*0.75</f>
        <v>0.03</v>
      </c>
      <c r="F48" s="17">
        <f>$A$47*0.5</f>
        <v>0.02</v>
      </c>
      <c r="G48" s="17">
        <f>$A$47*0.25</f>
        <v>0.01</v>
      </c>
      <c r="H48" s="18">
        <v>0</v>
      </c>
      <c r="I48" s="29"/>
    </row>
    <row r="49" spans="1:10">
      <c r="A49" s="245">
        <v>0.03</v>
      </c>
      <c r="B49" s="247" t="s">
        <v>346</v>
      </c>
      <c r="C49" s="245">
        <f>+D50</f>
        <v>0.03</v>
      </c>
      <c r="D49" s="229" t="s">
        <v>347</v>
      </c>
      <c r="E49" s="230" t="s">
        <v>348</v>
      </c>
      <c r="F49" s="230" t="s">
        <v>349</v>
      </c>
      <c r="G49" s="230" t="s">
        <v>350</v>
      </c>
      <c r="H49" s="229" t="s">
        <v>351</v>
      </c>
      <c r="J49" s="178" t="e">
        <f>+RF!F40</f>
        <v>#DIV/0!</v>
      </c>
    </row>
    <row r="50" spans="1:10">
      <c r="A50" s="245"/>
      <c r="B50" s="248"/>
      <c r="C50" s="246"/>
      <c r="D50" s="17">
        <f>$A$49*1</f>
        <v>0.03</v>
      </c>
      <c r="E50" s="17">
        <f>$A$49*0.75</f>
        <v>2.2499999999999999E-2</v>
      </c>
      <c r="F50" s="17">
        <f>$A$49*0.5</f>
        <v>1.4999999999999999E-2</v>
      </c>
      <c r="G50" s="17">
        <f>$A$49*0.25</f>
        <v>7.4999999999999997E-3</v>
      </c>
      <c r="H50" s="18">
        <v>-0.1</v>
      </c>
      <c r="I50" s="29"/>
    </row>
    <row r="51" spans="1:10">
      <c r="A51" s="241">
        <v>1.4999999999999999E-2</v>
      </c>
      <c r="B51" s="242" t="s">
        <v>112</v>
      </c>
      <c r="C51" s="241">
        <f>+F52</f>
        <v>7.4999999999999997E-3</v>
      </c>
      <c r="D51" s="16" t="s">
        <v>113</v>
      </c>
      <c r="E51" s="16" t="s">
        <v>114</v>
      </c>
      <c r="F51" s="16" t="s">
        <v>115</v>
      </c>
      <c r="G51" s="16" t="s">
        <v>116</v>
      </c>
      <c r="H51" s="16" t="s">
        <v>111</v>
      </c>
      <c r="J51" s="81"/>
    </row>
    <row r="52" spans="1:10">
      <c r="A52" s="241"/>
      <c r="B52" s="243"/>
      <c r="C52" s="244"/>
      <c r="D52" s="17">
        <f>$A$51*1</f>
        <v>1.4999999999999999E-2</v>
      </c>
      <c r="E52" s="17">
        <f>$A$51*0.75</f>
        <v>1.125E-2</v>
      </c>
      <c r="F52" s="17">
        <f>$A$51*0.5</f>
        <v>7.4999999999999997E-3</v>
      </c>
      <c r="G52" s="17">
        <f>$A$51*0.25</f>
        <v>3.7499999999999999E-3</v>
      </c>
      <c r="H52" s="17">
        <v>0</v>
      </c>
      <c r="I52" s="29"/>
      <c r="J52" s="178" t="e">
        <f>+RF!E27</f>
        <v>#DIV/0!</v>
      </c>
    </row>
    <row r="53" spans="1:10">
      <c r="A53" s="241">
        <v>1.4999999999999999E-2</v>
      </c>
      <c r="B53" s="242" t="s">
        <v>117</v>
      </c>
      <c r="C53" s="241">
        <f>+H54</f>
        <v>0</v>
      </c>
      <c r="D53" s="16" t="s">
        <v>70</v>
      </c>
      <c r="E53" s="16" t="s">
        <v>118</v>
      </c>
      <c r="F53" s="16" t="s">
        <v>68</v>
      </c>
      <c r="G53" s="16" t="s">
        <v>119</v>
      </c>
      <c r="H53" s="16" t="s">
        <v>120</v>
      </c>
    </row>
    <row r="54" spans="1:10">
      <c r="A54" s="241"/>
      <c r="B54" s="243"/>
      <c r="C54" s="244"/>
      <c r="D54" s="17">
        <f>$A$53*1</f>
        <v>1.4999999999999999E-2</v>
      </c>
      <c r="E54" s="17">
        <f>$A$53*0.75</f>
        <v>1.125E-2</v>
      </c>
      <c r="F54" s="17">
        <f>$A$53*0.5</f>
        <v>7.4999999999999997E-3</v>
      </c>
      <c r="G54" s="17">
        <f>$A$53*0.25</f>
        <v>3.7499999999999999E-3</v>
      </c>
      <c r="H54" s="17">
        <v>0</v>
      </c>
      <c r="I54" s="34"/>
      <c r="J54" s="77" t="e">
        <f>+RF!K28</f>
        <v>#DIV/0!</v>
      </c>
    </row>
    <row r="55" spans="1:10">
      <c r="A55" s="241">
        <v>1.4999999999999999E-2</v>
      </c>
      <c r="B55" s="242" t="s">
        <v>121</v>
      </c>
      <c r="C55" s="241">
        <f>+G56</f>
        <v>3.7499999999999999E-3</v>
      </c>
      <c r="D55" s="16" t="s">
        <v>70</v>
      </c>
      <c r="E55" s="16" t="s">
        <v>118</v>
      </c>
      <c r="F55" s="16" t="s">
        <v>68</v>
      </c>
      <c r="G55" s="16" t="s">
        <v>119</v>
      </c>
      <c r="H55" s="16" t="s">
        <v>120</v>
      </c>
    </row>
    <row r="56" spans="1:10">
      <c r="A56" s="241"/>
      <c r="B56" s="243"/>
      <c r="C56" s="244"/>
      <c r="D56" s="17">
        <f>$A$55*1</f>
        <v>1.4999999999999999E-2</v>
      </c>
      <c r="E56" s="17">
        <f>$A$55*0.75</f>
        <v>1.125E-2</v>
      </c>
      <c r="F56" s="17">
        <f>$A$55*0.5</f>
        <v>7.4999999999999997E-3</v>
      </c>
      <c r="G56" s="17">
        <f>$A$55*0.25</f>
        <v>3.7499999999999999E-3</v>
      </c>
      <c r="H56" s="17">
        <v>0</v>
      </c>
      <c r="I56" s="30"/>
      <c r="J56" s="77" t="e">
        <f>+RF!K29</f>
        <v>#DIV/0!</v>
      </c>
    </row>
    <row r="57" spans="1:10">
      <c r="A57" s="241">
        <v>1.4999999999999999E-2</v>
      </c>
      <c r="B57" s="242" t="s">
        <v>122</v>
      </c>
      <c r="C57" s="241">
        <f>+D58</f>
        <v>1.4999999999999999E-2</v>
      </c>
      <c r="D57" s="16" t="s">
        <v>123</v>
      </c>
      <c r="E57" s="16" t="s">
        <v>124</v>
      </c>
      <c r="F57" s="16" t="s">
        <v>125</v>
      </c>
      <c r="G57" s="16" t="s">
        <v>126</v>
      </c>
      <c r="H57" s="16" t="s">
        <v>127</v>
      </c>
    </row>
    <row r="58" spans="1:10">
      <c r="A58" s="241"/>
      <c r="B58" s="243"/>
      <c r="C58" s="244"/>
      <c r="D58" s="17">
        <f>$A$57*1</f>
        <v>1.4999999999999999E-2</v>
      </c>
      <c r="E58" s="17">
        <f>$A$57*0.75</f>
        <v>1.125E-2</v>
      </c>
      <c r="F58" s="17">
        <f>$A$57*0.5</f>
        <v>7.4999999999999997E-3</v>
      </c>
      <c r="G58" s="17">
        <f>$A$57*0.25</f>
        <v>3.7499999999999999E-3</v>
      </c>
      <c r="H58" s="17">
        <v>0</v>
      </c>
      <c r="J58" s="174" t="e">
        <f>+RF!E19</f>
        <v>#DIV/0!</v>
      </c>
    </row>
    <row r="59" spans="1:10">
      <c r="A59" s="241">
        <v>1.4999999999999999E-2</v>
      </c>
      <c r="B59" s="242" t="s">
        <v>128</v>
      </c>
      <c r="C59" s="241">
        <f>+D60</f>
        <v>1.4999999999999999E-2</v>
      </c>
      <c r="D59" s="16" t="s">
        <v>129</v>
      </c>
      <c r="E59" s="16" t="s">
        <v>130</v>
      </c>
      <c r="F59" s="16" t="s">
        <v>131</v>
      </c>
      <c r="G59" s="16" t="s">
        <v>132</v>
      </c>
      <c r="H59" s="16" t="s">
        <v>133</v>
      </c>
      <c r="J59" s="81"/>
    </row>
    <row r="60" spans="1:10">
      <c r="A60" s="241"/>
      <c r="B60" s="243"/>
      <c r="C60" s="244"/>
      <c r="D60" s="17">
        <f>$A$59*1</f>
        <v>1.4999999999999999E-2</v>
      </c>
      <c r="E60" s="17">
        <f>$A$59*0.75</f>
        <v>1.125E-2</v>
      </c>
      <c r="F60" s="17">
        <f>$A$59*0.5</f>
        <v>7.4999999999999997E-3</v>
      </c>
      <c r="G60" s="17">
        <f>$A$59*0.25</f>
        <v>3.7499999999999999E-3</v>
      </c>
      <c r="H60" s="17">
        <v>0</v>
      </c>
      <c r="I60" s="29"/>
      <c r="J60" s="210" t="e">
        <f>+RF!E30</f>
        <v>#DIV/0!</v>
      </c>
    </row>
    <row r="61" spans="1:10" ht="31">
      <c r="A61" s="241">
        <v>1.4999999999999999E-2</v>
      </c>
      <c r="B61" s="242" t="s">
        <v>134</v>
      </c>
      <c r="C61" s="241">
        <f>+F62</f>
        <v>7.4999999999999997E-3</v>
      </c>
      <c r="D61" s="16" t="s">
        <v>135</v>
      </c>
      <c r="E61" s="16" t="s">
        <v>136</v>
      </c>
      <c r="F61" s="16" t="s">
        <v>137</v>
      </c>
      <c r="G61" s="16" t="s">
        <v>138</v>
      </c>
      <c r="H61" s="16" t="s">
        <v>139</v>
      </c>
    </row>
    <row r="62" spans="1:10">
      <c r="A62" s="241"/>
      <c r="B62" s="243"/>
      <c r="C62" s="244"/>
      <c r="D62" s="17">
        <f>$A$61*1</f>
        <v>1.4999999999999999E-2</v>
      </c>
      <c r="E62" s="17">
        <f>$A$61*0.75</f>
        <v>1.125E-2</v>
      </c>
      <c r="F62" s="17">
        <f>$A$61*0.5</f>
        <v>7.4999999999999997E-3</v>
      </c>
      <c r="G62" s="17">
        <f>$A$61*0.25</f>
        <v>3.7499999999999999E-3</v>
      </c>
      <c r="H62" s="17">
        <v>0</v>
      </c>
      <c r="I62" s="8"/>
      <c r="J62" s="77"/>
    </row>
    <row r="63" spans="1:10">
      <c r="A63" s="241">
        <v>1.4999999999999999E-2</v>
      </c>
      <c r="B63" s="242" t="s">
        <v>140</v>
      </c>
      <c r="C63" s="241">
        <f>+E64</f>
        <v>1.125E-2</v>
      </c>
      <c r="D63" s="16" t="s">
        <v>141</v>
      </c>
      <c r="E63" s="16" t="s">
        <v>142</v>
      </c>
      <c r="F63" s="16" t="s">
        <v>143</v>
      </c>
      <c r="G63" s="16" t="s">
        <v>144</v>
      </c>
      <c r="H63" s="16" t="s">
        <v>145</v>
      </c>
      <c r="I63" s="34"/>
      <c r="J63" s="77" t="e">
        <f>+RF!E31</f>
        <v>#DIV/0!</v>
      </c>
    </row>
    <row r="64" spans="1:10">
      <c r="A64" s="241"/>
      <c r="B64" s="243"/>
      <c r="C64" s="244"/>
      <c r="D64" s="17">
        <f>$A$63*1</f>
        <v>1.4999999999999999E-2</v>
      </c>
      <c r="E64" s="17">
        <f>$A$63*0.75</f>
        <v>1.125E-2</v>
      </c>
      <c r="F64" s="17">
        <f>$A$63*0.5</f>
        <v>7.4999999999999997E-3</v>
      </c>
      <c r="G64" s="17">
        <f>$A$63*0.25</f>
        <v>3.7499999999999999E-3</v>
      </c>
      <c r="H64" s="17">
        <v>0</v>
      </c>
      <c r="I64" s="34"/>
    </row>
    <row r="65" spans="1:10">
      <c r="A65" s="241">
        <v>1.4999999999999999E-2</v>
      </c>
      <c r="B65" s="242" t="s">
        <v>146</v>
      </c>
      <c r="C65" s="241">
        <f>+E66</f>
        <v>1.125E-2</v>
      </c>
      <c r="D65" s="16" t="s">
        <v>147</v>
      </c>
      <c r="E65" s="16" t="s">
        <v>148</v>
      </c>
      <c r="F65" s="16" t="s">
        <v>149</v>
      </c>
      <c r="G65" s="16" t="s">
        <v>144</v>
      </c>
      <c r="H65" s="16" t="s">
        <v>145</v>
      </c>
      <c r="J65" s="77" t="e">
        <f>+RF!E32</f>
        <v>#DIV/0!</v>
      </c>
    </row>
    <row r="66" spans="1:10">
      <c r="A66" s="241"/>
      <c r="B66" s="243"/>
      <c r="C66" s="244"/>
      <c r="D66" s="17">
        <f>$A$65*1</f>
        <v>1.4999999999999999E-2</v>
      </c>
      <c r="E66" s="17">
        <f>$A$65*0.75</f>
        <v>1.125E-2</v>
      </c>
      <c r="F66" s="17">
        <f>$A$65*0.5</f>
        <v>7.4999999999999997E-3</v>
      </c>
      <c r="G66" s="17">
        <f>$A$65*0.25</f>
        <v>3.7499999999999999E-3</v>
      </c>
      <c r="H66" s="17">
        <v>0</v>
      </c>
      <c r="I66" s="34"/>
      <c r="J66" s="77"/>
    </row>
    <row r="67" spans="1:10">
      <c r="A67" s="241">
        <v>1.4999999999999999E-2</v>
      </c>
      <c r="B67" s="242" t="s">
        <v>150</v>
      </c>
      <c r="C67" s="241">
        <f>+D68</f>
        <v>1.4999999999999999E-2</v>
      </c>
      <c r="D67" s="16" t="s">
        <v>141</v>
      </c>
      <c r="E67" s="16" t="s">
        <v>142</v>
      </c>
      <c r="F67" s="16" t="s">
        <v>151</v>
      </c>
      <c r="G67" s="16" t="s">
        <v>152</v>
      </c>
      <c r="H67" s="16" t="s">
        <v>153</v>
      </c>
      <c r="J67" s="77" t="e">
        <f>+RF!E34</f>
        <v>#DIV/0!</v>
      </c>
    </row>
    <row r="68" spans="1:10">
      <c r="A68" s="241"/>
      <c r="B68" s="243"/>
      <c r="C68" s="244"/>
      <c r="D68" s="17">
        <f>$A$67*1</f>
        <v>1.4999999999999999E-2</v>
      </c>
      <c r="E68" s="17">
        <f>$A$67*0.75</f>
        <v>1.125E-2</v>
      </c>
      <c r="F68" s="17">
        <f>$A$67*0.5</f>
        <v>7.4999999999999997E-3</v>
      </c>
      <c r="G68" s="17">
        <f>$A$67*0.25</f>
        <v>3.7499999999999999E-3</v>
      </c>
      <c r="H68" s="17">
        <v>0</v>
      </c>
      <c r="I68" s="30"/>
      <c r="J68" s="77"/>
    </row>
    <row r="69" spans="1:10">
      <c r="A69" s="241">
        <v>1.4999999999999999E-2</v>
      </c>
      <c r="B69" s="242" t="s">
        <v>154</v>
      </c>
      <c r="C69" s="241">
        <f>+D70</f>
        <v>1.4999999999999999E-2</v>
      </c>
      <c r="D69" s="16" t="s">
        <v>155</v>
      </c>
      <c r="E69" s="16" t="s">
        <v>143</v>
      </c>
      <c r="F69" s="16" t="s">
        <v>156</v>
      </c>
      <c r="G69" s="16" t="s">
        <v>157</v>
      </c>
      <c r="H69" s="16" t="s">
        <v>158</v>
      </c>
      <c r="J69" s="77" t="e">
        <f>+RF!E33</f>
        <v>#DIV/0!</v>
      </c>
    </row>
    <row r="70" spans="1:10">
      <c r="A70" s="241"/>
      <c r="B70" s="243"/>
      <c r="C70" s="244"/>
      <c r="D70" s="17">
        <f>$A$69*1</f>
        <v>1.4999999999999999E-2</v>
      </c>
      <c r="E70" s="17">
        <f>$A$69*0.75</f>
        <v>1.125E-2</v>
      </c>
      <c r="F70" s="17">
        <f>$A$69*0.5</f>
        <v>7.4999999999999997E-3</v>
      </c>
      <c r="G70" s="17">
        <f>$A$69*0.25</f>
        <v>3.7499999999999999E-3</v>
      </c>
      <c r="H70" s="17">
        <v>0</v>
      </c>
      <c r="I70" s="30"/>
      <c r="J70" s="77"/>
    </row>
    <row r="71" spans="1:10">
      <c r="G71" s="16"/>
    </row>
    <row r="73" spans="1:10">
      <c r="B73" s="72"/>
      <c r="C73" s="232">
        <f>SUM(C10:C70)</f>
        <v>0.738375</v>
      </c>
    </row>
    <row r="74" spans="1:10">
      <c r="A74" s="35">
        <f>SUM(A10:A70)</f>
        <v>0.996</v>
      </c>
      <c r="C74" s="233" t="s">
        <v>352</v>
      </c>
    </row>
    <row r="79" spans="1:10">
      <c r="C79" s="4" t="s">
        <v>106</v>
      </c>
      <c r="D79" s="234">
        <v>7.4999999999999997E-2</v>
      </c>
    </row>
  </sheetData>
  <mergeCells count="78">
    <mergeCell ref="A11:A12"/>
    <mergeCell ref="B11:B12"/>
    <mergeCell ref="C11:C1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A25:A26"/>
    <mergeCell ref="B25:B26"/>
    <mergeCell ref="C25:C26"/>
    <mergeCell ref="A27:A28"/>
    <mergeCell ref="B27:B28"/>
    <mergeCell ref="C27:C28"/>
    <mergeCell ref="A29:A30"/>
    <mergeCell ref="B29:B30"/>
    <mergeCell ref="C29:C30"/>
    <mergeCell ref="A31:A32"/>
    <mergeCell ref="B31:B32"/>
    <mergeCell ref="C31:C32"/>
    <mergeCell ref="A33:A34"/>
    <mergeCell ref="B33:B34"/>
    <mergeCell ref="C33:C34"/>
    <mergeCell ref="A35:A36"/>
    <mergeCell ref="B35:B36"/>
    <mergeCell ref="C35:C36"/>
    <mergeCell ref="A37:A38"/>
    <mergeCell ref="B37:B38"/>
    <mergeCell ref="C37:C38"/>
    <mergeCell ref="A39:A40"/>
    <mergeCell ref="B39:B40"/>
    <mergeCell ref="C39:C40"/>
    <mergeCell ref="A45:A46"/>
    <mergeCell ref="B45:B46"/>
    <mergeCell ref="C45:C46"/>
    <mergeCell ref="A47:A48"/>
    <mergeCell ref="B47:B48"/>
    <mergeCell ref="C47:C48"/>
    <mergeCell ref="A51:A52"/>
    <mergeCell ref="B51:B52"/>
    <mergeCell ref="C51:C52"/>
    <mergeCell ref="B49:B50"/>
    <mergeCell ref="C49:C50"/>
    <mergeCell ref="A49:A50"/>
    <mergeCell ref="A53:A54"/>
    <mergeCell ref="B53:B54"/>
    <mergeCell ref="C53:C54"/>
    <mergeCell ref="A55:A56"/>
    <mergeCell ref="B55:B56"/>
    <mergeCell ref="C55:C56"/>
    <mergeCell ref="A57:A58"/>
    <mergeCell ref="B57:B58"/>
    <mergeCell ref="C57:C58"/>
    <mergeCell ref="A59:A60"/>
    <mergeCell ref="B59:B60"/>
    <mergeCell ref="C59:C60"/>
    <mergeCell ref="A61:A62"/>
    <mergeCell ref="B61:B62"/>
    <mergeCell ref="C61:C62"/>
    <mergeCell ref="A63:A64"/>
    <mergeCell ref="B63:B64"/>
    <mergeCell ref="C63:C64"/>
    <mergeCell ref="A69:A70"/>
    <mergeCell ref="B69:B70"/>
    <mergeCell ref="C69:C70"/>
    <mergeCell ref="A65:A66"/>
    <mergeCell ref="B65:B66"/>
    <mergeCell ref="C65:C66"/>
    <mergeCell ref="A67:A68"/>
    <mergeCell ref="B67:B68"/>
    <mergeCell ref="C67:C68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scale="3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52E5-B400-D948-B079-EA7889960E3C}">
  <sheetPr codeName="Hoja7"/>
  <dimension ref="A1:AB172"/>
  <sheetViews>
    <sheetView zoomScaleNormal="100" workbookViewId="0">
      <selection activeCell="R24" sqref="R24"/>
    </sheetView>
  </sheetViews>
  <sheetFormatPr baseColWidth="10" defaultColWidth="10.81640625" defaultRowHeight="15.5"/>
  <cols>
    <col min="1" max="1" width="10.81640625" style="36" customWidth="1"/>
    <col min="2" max="2" width="12.26953125" style="36" bestFit="1" customWidth="1"/>
    <col min="3" max="3" width="9.81640625" style="68" bestFit="1" customWidth="1"/>
    <col min="4" max="7" width="10.81640625" style="68" customWidth="1"/>
    <col min="8" max="8" width="13.36328125" style="36" bestFit="1" customWidth="1"/>
    <col min="9" max="28" width="10.81640625" style="36"/>
    <col min="29" max="16384" width="10.81640625" style="68"/>
  </cols>
  <sheetData>
    <row r="1" spans="1:14" s="37" customFormat="1" ht="23">
      <c r="A1" s="271" t="s">
        <v>159</v>
      </c>
      <c r="B1" s="271"/>
      <c r="C1" s="271"/>
      <c r="D1" s="271"/>
      <c r="E1" s="271"/>
      <c r="F1" s="271"/>
      <c r="G1" s="271"/>
    </row>
    <row r="2" spans="1:14" s="39" customFormat="1" ht="16" customHeight="1">
      <c r="A2" s="38"/>
      <c r="B2" s="38"/>
      <c r="C2" s="38"/>
      <c r="D2" s="38"/>
      <c r="E2" s="38"/>
      <c r="F2" s="38"/>
      <c r="G2" s="38"/>
    </row>
    <row r="3" spans="1:14" s="36" customFormat="1" ht="16" customHeight="1">
      <c r="A3" s="40"/>
      <c r="B3" s="41"/>
      <c r="C3" s="270" t="s">
        <v>160</v>
      </c>
      <c r="D3" s="270"/>
      <c r="E3" s="270"/>
      <c r="F3" s="270"/>
      <c r="G3" s="270"/>
      <c r="I3" s="42"/>
      <c r="J3" s="42">
        <v>1</v>
      </c>
      <c r="K3" s="42">
        <v>2</v>
      </c>
      <c r="L3" s="42">
        <v>3</v>
      </c>
      <c r="M3" s="42">
        <v>4</v>
      </c>
      <c r="N3" s="42">
        <v>5</v>
      </c>
    </row>
    <row r="4" spans="1:14" s="36" customFormat="1" ht="17" customHeight="1">
      <c r="A4" s="43"/>
      <c r="B4" s="44"/>
      <c r="C4" s="45">
        <v>1</v>
      </c>
      <c r="D4" s="46">
        <v>2</v>
      </c>
      <c r="E4" s="46">
        <v>3</v>
      </c>
      <c r="F4" s="46">
        <v>4</v>
      </c>
      <c r="G4" s="46">
        <v>5</v>
      </c>
      <c r="H4" s="47"/>
      <c r="I4" s="48" t="s">
        <v>161</v>
      </c>
      <c r="J4" s="49">
        <f t="shared" ref="J4:N8" si="0">C21</f>
        <v>17.288600000000002</v>
      </c>
      <c r="K4" s="49">
        <f t="shared" si="0"/>
        <v>19.288600000000002</v>
      </c>
      <c r="L4" s="49">
        <f t="shared" si="0"/>
        <v>23.288600000000002</v>
      </c>
      <c r="M4" s="49">
        <f t="shared" si="0"/>
        <v>29.288600000000002</v>
      </c>
      <c r="N4" s="49">
        <f t="shared" si="0"/>
        <v>37.288600000000002</v>
      </c>
    </row>
    <row r="5" spans="1:14" ht="16" customHeight="1">
      <c r="A5" s="272" t="s">
        <v>162</v>
      </c>
      <c r="B5" s="50" t="s">
        <v>161</v>
      </c>
      <c r="C5" s="51" t="s">
        <v>163</v>
      </c>
      <c r="D5" s="52" t="s">
        <v>164</v>
      </c>
      <c r="E5" s="52" t="s">
        <v>165</v>
      </c>
      <c r="F5" s="52" t="s">
        <v>166</v>
      </c>
      <c r="G5" s="52" t="s">
        <v>167</v>
      </c>
      <c r="H5" s="53"/>
      <c r="I5" s="48" t="s">
        <v>168</v>
      </c>
      <c r="J5" s="49">
        <f t="shared" si="0"/>
        <v>19.788600000000002</v>
      </c>
      <c r="K5" s="49">
        <f t="shared" si="0"/>
        <v>21.788600000000002</v>
      </c>
      <c r="L5" s="49">
        <f t="shared" si="0"/>
        <v>25.788600000000002</v>
      </c>
      <c r="M5" s="49">
        <f t="shared" si="0"/>
        <v>31.788600000000002</v>
      </c>
      <c r="N5" s="49">
        <f t="shared" si="0"/>
        <v>39.788600000000002</v>
      </c>
    </row>
    <row r="6" spans="1:14" ht="16" customHeight="1">
      <c r="A6" s="272"/>
      <c r="B6" s="54" t="s">
        <v>168</v>
      </c>
      <c r="C6" s="51" t="s">
        <v>169</v>
      </c>
      <c r="D6" s="52" t="s">
        <v>170</v>
      </c>
      <c r="E6" s="52" t="s">
        <v>171</v>
      </c>
      <c r="F6" s="52" t="s">
        <v>172</v>
      </c>
      <c r="G6" s="52" t="s">
        <v>173</v>
      </c>
      <c r="H6" s="53"/>
      <c r="I6" s="48" t="s">
        <v>174</v>
      </c>
      <c r="J6" s="49">
        <f t="shared" si="0"/>
        <v>24.788600000000002</v>
      </c>
      <c r="K6" s="49">
        <f t="shared" si="0"/>
        <v>26.788600000000002</v>
      </c>
      <c r="L6" s="49">
        <f t="shared" si="0"/>
        <v>30.788600000000002</v>
      </c>
      <c r="M6" s="49">
        <f t="shared" si="0"/>
        <v>36.788600000000002</v>
      </c>
      <c r="N6" s="49">
        <f t="shared" si="0"/>
        <v>44.788599999999995</v>
      </c>
    </row>
    <row r="7" spans="1:14" ht="16" customHeight="1">
      <c r="A7" s="272"/>
      <c r="B7" s="54" t="s">
        <v>174</v>
      </c>
      <c r="C7" s="55" t="s">
        <v>175</v>
      </c>
      <c r="D7" s="56" t="s">
        <v>176</v>
      </c>
      <c r="E7" s="56" t="s">
        <v>177</v>
      </c>
      <c r="F7" s="57" t="s">
        <v>178</v>
      </c>
      <c r="G7" s="58" t="s">
        <v>179</v>
      </c>
      <c r="H7" s="53"/>
      <c r="I7" s="48" t="s">
        <v>180</v>
      </c>
      <c r="J7" s="49">
        <f t="shared" si="0"/>
        <v>32.288600000000002</v>
      </c>
      <c r="K7" s="49">
        <f t="shared" si="0"/>
        <v>34.288600000000002</v>
      </c>
      <c r="L7" s="49">
        <f t="shared" si="0"/>
        <v>38.288600000000002</v>
      </c>
      <c r="M7" s="49">
        <f t="shared" si="0"/>
        <v>44.288599999999995</v>
      </c>
      <c r="N7" s="49">
        <f t="shared" si="0"/>
        <v>52.288599999999995</v>
      </c>
    </row>
    <row r="8" spans="1:14" ht="16" customHeight="1">
      <c r="A8" s="272"/>
      <c r="B8" s="54" t="s">
        <v>180</v>
      </c>
      <c r="C8" s="55" t="s">
        <v>181</v>
      </c>
      <c r="D8" s="56" t="s">
        <v>182</v>
      </c>
      <c r="E8" s="57" t="s">
        <v>183</v>
      </c>
      <c r="F8" s="59" t="s">
        <v>184</v>
      </c>
      <c r="G8" s="59" t="s">
        <v>185</v>
      </c>
      <c r="H8" s="53"/>
      <c r="I8" s="48" t="s">
        <v>186</v>
      </c>
      <c r="J8" s="49">
        <f t="shared" si="0"/>
        <v>42.288599999999995</v>
      </c>
      <c r="K8" s="49">
        <f t="shared" si="0"/>
        <v>44.288599999999995</v>
      </c>
      <c r="L8" s="49">
        <f t="shared" si="0"/>
        <v>48.288599999999995</v>
      </c>
      <c r="M8" s="49">
        <f t="shared" si="0"/>
        <v>54.288599999999995</v>
      </c>
      <c r="N8" s="49">
        <f t="shared" si="0"/>
        <v>62.288599999999995</v>
      </c>
    </row>
    <row r="9" spans="1:14" ht="16" customHeight="1">
      <c r="A9" s="272"/>
      <c r="B9" s="54" t="s">
        <v>186</v>
      </c>
      <c r="C9" s="51" t="s">
        <v>187</v>
      </c>
      <c r="D9" s="60" t="s">
        <v>188</v>
      </c>
      <c r="E9" s="61" t="s">
        <v>189</v>
      </c>
      <c r="F9" s="61" t="s">
        <v>190</v>
      </c>
      <c r="G9" s="61" t="s">
        <v>191</v>
      </c>
      <c r="H9" s="53"/>
    </row>
    <row r="10" spans="1:14" s="36" customFormat="1" ht="16" customHeight="1">
      <c r="A10" s="62"/>
      <c r="B10" s="63"/>
      <c r="C10" s="53"/>
      <c r="D10" s="53"/>
      <c r="E10" s="53"/>
      <c r="F10" s="53"/>
      <c r="G10" s="53"/>
      <c r="H10" s="53"/>
    </row>
    <row r="11" spans="1:14" s="36" customFormat="1" ht="16" customHeight="1">
      <c r="A11" s="40"/>
      <c r="B11" s="41"/>
      <c r="C11" s="270" t="s">
        <v>192</v>
      </c>
      <c r="D11" s="270"/>
      <c r="E11" s="270"/>
      <c r="F11" s="270"/>
      <c r="G11" s="270"/>
    </row>
    <row r="12" spans="1:14" s="36" customFormat="1" ht="16" customHeight="1">
      <c r="A12" s="43"/>
      <c r="B12" s="44" t="s">
        <v>193</v>
      </c>
      <c r="C12" s="46">
        <v>1</v>
      </c>
      <c r="D12" s="46">
        <v>2</v>
      </c>
      <c r="E12" s="46">
        <v>3</v>
      </c>
      <c r="F12" s="46">
        <v>4</v>
      </c>
      <c r="G12" s="46">
        <v>5</v>
      </c>
      <c r="H12" s="47"/>
    </row>
    <row r="13" spans="1:14" ht="16" customHeight="1">
      <c r="A13" s="273"/>
      <c r="B13" s="64" t="s">
        <v>161</v>
      </c>
      <c r="C13" s="65">
        <v>1000</v>
      </c>
      <c r="D13" s="65">
        <v>1200</v>
      </c>
      <c r="E13" s="65">
        <v>1600</v>
      </c>
      <c r="F13" s="65">
        <v>2200</v>
      </c>
      <c r="G13" s="65">
        <v>3000</v>
      </c>
      <c r="H13" s="53"/>
    </row>
    <row r="14" spans="1:14" ht="16" customHeight="1">
      <c r="A14" s="273"/>
      <c r="B14" s="64" t="s">
        <v>168</v>
      </c>
      <c r="C14" s="65">
        <v>1250</v>
      </c>
      <c r="D14" s="65">
        <v>1450</v>
      </c>
      <c r="E14" s="65">
        <v>1850</v>
      </c>
      <c r="F14" s="65">
        <v>2450</v>
      </c>
      <c r="G14" s="65">
        <v>3250</v>
      </c>
      <c r="H14" s="53"/>
    </row>
    <row r="15" spans="1:14">
      <c r="A15" s="273"/>
      <c r="B15" s="64" t="s">
        <v>174</v>
      </c>
      <c r="C15" s="65">
        <v>1750</v>
      </c>
      <c r="D15" s="65">
        <v>1950</v>
      </c>
      <c r="E15" s="65">
        <v>2350</v>
      </c>
      <c r="F15" s="60">
        <v>2950</v>
      </c>
      <c r="G15" s="66">
        <v>3750</v>
      </c>
      <c r="H15" s="53"/>
    </row>
    <row r="16" spans="1:14">
      <c r="A16" s="273"/>
      <c r="B16" s="64" t="s">
        <v>180</v>
      </c>
      <c r="C16" s="65">
        <v>2500</v>
      </c>
      <c r="D16" s="65">
        <v>2700</v>
      </c>
      <c r="E16" s="60">
        <v>3100</v>
      </c>
      <c r="F16" s="61">
        <v>3700</v>
      </c>
      <c r="G16" s="61">
        <v>4500</v>
      </c>
      <c r="H16" s="53"/>
    </row>
    <row r="17" spans="1:26">
      <c r="A17" s="273"/>
      <c r="B17" s="64" t="s">
        <v>186</v>
      </c>
      <c r="C17" s="65">
        <v>3500</v>
      </c>
      <c r="D17" s="60">
        <v>3700</v>
      </c>
      <c r="E17" s="61">
        <v>4100</v>
      </c>
      <c r="F17" s="61">
        <v>4700</v>
      </c>
      <c r="G17" s="61">
        <v>5500</v>
      </c>
      <c r="H17" s="53"/>
    </row>
    <row r="18" spans="1:26" s="36" customFormat="1"/>
    <row r="19" spans="1:26" s="36" customFormat="1" ht="20">
      <c r="B19" s="41"/>
      <c r="C19" s="270" t="s">
        <v>194</v>
      </c>
      <c r="D19" s="270"/>
      <c r="E19" s="270"/>
      <c r="F19" s="270"/>
      <c r="G19" s="270"/>
      <c r="P19" s="185"/>
      <c r="Q19" s="257" t="s">
        <v>309</v>
      </c>
      <c r="R19" s="257"/>
      <c r="S19" s="257"/>
      <c r="T19" s="257"/>
      <c r="U19" s="257"/>
      <c r="V19" s="257"/>
      <c r="W19" s="257"/>
      <c r="X19" s="257"/>
      <c r="Y19" s="257"/>
      <c r="Z19" s="185"/>
    </row>
    <row r="20" spans="1:26" s="36" customFormat="1">
      <c r="A20" s="67" t="s">
        <v>195</v>
      </c>
      <c r="B20" s="217">
        <f>7.2886*100</f>
        <v>728.86</v>
      </c>
      <c r="C20" s="46">
        <v>1</v>
      </c>
      <c r="D20" s="46">
        <v>2</v>
      </c>
      <c r="E20" s="46">
        <v>3</v>
      </c>
      <c r="F20" s="46">
        <v>4</v>
      </c>
      <c r="G20" s="46">
        <v>5</v>
      </c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</row>
    <row r="21" spans="1:26" s="36" customFormat="1">
      <c r="B21" s="64" t="s">
        <v>161</v>
      </c>
      <c r="C21" s="65">
        <f>($B$20+C13)/100</f>
        <v>17.288600000000002</v>
      </c>
      <c r="D21" s="65">
        <f>($B$20+D13)/100</f>
        <v>19.288600000000002</v>
      </c>
      <c r="E21" s="65">
        <f>($B$20+E13)/100</f>
        <v>23.288600000000002</v>
      </c>
      <c r="F21" s="65">
        <f>($B$20+F13)/100</f>
        <v>29.288600000000002</v>
      </c>
      <c r="G21" s="65">
        <f>($B$20+G13)/100</f>
        <v>37.288600000000002</v>
      </c>
      <c r="P21" s="258">
        <f>+B20</f>
        <v>728.86</v>
      </c>
      <c r="Q21" s="260">
        <v>1</v>
      </c>
      <c r="R21" s="261"/>
      <c r="S21" s="262">
        <v>2</v>
      </c>
      <c r="T21" s="263"/>
      <c r="U21" s="264">
        <v>3</v>
      </c>
      <c r="V21" s="265"/>
      <c r="W21" s="266">
        <v>4</v>
      </c>
      <c r="X21" s="267"/>
      <c r="Y21" s="268">
        <v>5</v>
      </c>
      <c r="Z21" s="269"/>
    </row>
    <row r="22" spans="1:26" s="36" customFormat="1">
      <c r="B22" s="64" t="s">
        <v>168</v>
      </c>
      <c r="C22" s="65">
        <f t="shared" ref="C22:G25" si="1">($B$20+C14)/100</f>
        <v>19.788600000000002</v>
      </c>
      <c r="D22" s="65">
        <f t="shared" si="1"/>
        <v>21.788600000000002</v>
      </c>
      <c r="E22" s="65">
        <f t="shared" si="1"/>
        <v>25.788600000000002</v>
      </c>
      <c r="F22" s="65">
        <f t="shared" si="1"/>
        <v>31.788600000000002</v>
      </c>
      <c r="G22" s="60">
        <f t="shared" si="1"/>
        <v>39.788600000000002</v>
      </c>
      <c r="P22" s="259"/>
      <c r="Q22" s="186" t="s">
        <v>310</v>
      </c>
      <c r="R22" s="187" t="s">
        <v>311</v>
      </c>
      <c r="S22" s="188" t="s">
        <v>310</v>
      </c>
      <c r="T22" s="187" t="s">
        <v>311</v>
      </c>
      <c r="U22" s="188" t="s">
        <v>310</v>
      </c>
      <c r="V22" s="187" t="s">
        <v>311</v>
      </c>
      <c r="W22" s="188" t="s">
        <v>310</v>
      </c>
      <c r="X22" s="187" t="s">
        <v>311</v>
      </c>
      <c r="Y22" s="186" t="s">
        <v>310</v>
      </c>
      <c r="Z22" s="187" t="s">
        <v>311</v>
      </c>
    </row>
    <row r="23" spans="1:26" s="36" customFormat="1">
      <c r="B23" s="64" t="s">
        <v>174</v>
      </c>
      <c r="C23" s="65">
        <f t="shared" si="1"/>
        <v>24.788600000000002</v>
      </c>
      <c r="D23" s="181">
        <f>($B$20+D15)/100</f>
        <v>26.788600000000002</v>
      </c>
      <c r="E23" s="65">
        <f t="shared" si="1"/>
        <v>30.788600000000002</v>
      </c>
      <c r="F23" s="60">
        <f t="shared" si="1"/>
        <v>36.788600000000002</v>
      </c>
      <c r="G23" s="61">
        <f t="shared" si="1"/>
        <v>44.788599999999995</v>
      </c>
      <c r="P23" s="189" t="s">
        <v>161</v>
      </c>
      <c r="Q23" s="200">
        <f>($B$20+C13)/100</f>
        <v>17.288600000000002</v>
      </c>
      <c r="R23" s="201">
        <f>S23-0.01</f>
        <v>19.278600000000001</v>
      </c>
      <c r="S23" s="202">
        <f>($B$20+D13)/100</f>
        <v>19.288600000000002</v>
      </c>
      <c r="T23" s="203">
        <f>U23-0.01</f>
        <v>23.278600000000001</v>
      </c>
      <c r="U23" s="202">
        <f>($B$20+E13)/100</f>
        <v>23.288600000000002</v>
      </c>
      <c r="V23" s="203">
        <f>W23-0.01</f>
        <v>29.278600000000001</v>
      </c>
      <c r="W23" s="202">
        <f>($B$20+F13)/100</f>
        <v>29.288600000000002</v>
      </c>
      <c r="X23" s="203">
        <f>Y23-0.01</f>
        <v>37.278600000000004</v>
      </c>
      <c r="Y23" s="202">
        <f>($B$20+G13)/100</f>
        <v>37.288600000000002</v>
      </c>
      <c r="Z23" s="203">
        <f>Y24-0.01</f>
        <v>39.778600000000004</v>
      </c>
    </row>
    <row r="24" spans="1:26" s="36" customFormat="1">
      <c r="B24" s="64" t="s">
        <v>180</v>
      </c>
      <c r="C24" s="65">
        <f t="shared" si="1"/>
        <v>32.288600000000002</v>
      </c>
      <c r="D24" s="65">
        <f t="shared" si="1"/>
        <v>34.288600000000002</v>
      </c>
      <c r="E24" s="60">
        <f t="shared" si="1"/>
        <v>38.288600000000002</v>
      </c>
      <c r="F24" s="61">
        <f t="shared" si="1"/>
        <v>44.288599999999995</v>
      </c>
      <c r="G24" s="61">
        <f t="shared" si="1"/>
        <v>52.288599999999995</v>
      </c>
      <c r="P24" s="189" t="s">
        <v>168</v>
      </c>
      <c r="Q24" s="202">
        <f t="shared" ref="Q24:Q27" si="2">($B$20+C14)/100</f>
        <v>19.788600000000002</v>
      </c>
      <c r="R24" s="203">
        <f t="shared" ref="R24:R27" si="3">S24-0.01</f>
        <v>21.778600000000001</v>
      </c>
      <c r="S24" s="202">
        <f t="shared" ref="S24:S27" si="4">($B$20+D14)/100</f>
        <v>21.788600000000002</v>
      </c>
      <c r="T24" s="203">
        <f t="shared" ref="T24:T27" si="5">U24-0.01</f>
        <v>25.778600000000001</v>
      </c>
      <c r="U24" s="202">
        <f t="shared" ref="U24:U27" si="6">($B$20+E14)/100</f>
        <v>25.788600000000002</v>
      </c>
      <c r="V24" s="203">
        <f t="shared" ref="V24:V27" si="7">W24-0.01</f>
        <v>31.778600000000001</v>
      </c>
      <c r="W24" s="202">
        <f t="shared" ref="W24:W27" si="8">($B$20+F14)/100</f>
        <v>31.788600000000002</v>
      </c>
      <c r="X24" s="203">
        <f t="shared" ref="X24:X27" si="9">Y24-0.01</f>
        <v>39.778600000000004</v>
      </c>
      <c r="Y24" s="202">
        <f t="shared" ref="Y24:Y27" si="10">($B$20+G14)/100</f>
        <v>39.788600000000002</v>
      </c>
      <c r="Z24" s="203">
        <f t="shared" ref="Z24:Z26" si="11">Y25-0.01</f>
        <v>44.778599999999997</v>
      </c>
    </row>
    <row r="25" spans="1:26" s="36" customFormat="1">
      <c r="B25" s="64" t="s">
        <v>186</v>
      </c>
      <c r="C25" s="65">
        <f t="shared" si="1"/>
        <v>42.288599999999995</v>
      </c>
      <c r="D25" s="60">
        <f t="shared" si="1"/>
        <v>44.288599999999995</v>
      </c>
      <c r="E25" s="61">
        <f t="shared" si="1"/>
        <v>48.288599999999995</v>
      </c>
      <c r="F25" s="61">
        <f t="shared" si="1"/>
        <v>54.288599999999995</v>
      </c>
      <c r="G25" s="61">
        <f t="shared" si="1"/>
        <v>62.288599999999995</v>
      </c>
      <c r="P25" s="189" t="s">
        <v>174</v>
      </c>
      <c r="Q25" s="202">
        <f t="shared" si="2"/>
        <v>24.788600000000002</v>
      </c>
      <c r="R25" s="203">
        <f t="shared" si="3"/>
        <v>26.778600000000001</v>
      </c>
      <c r="S25" s="202">
        <f t="shared" si="4"/>
        <v>26.788600000000002</v>
      </c>
      <c r="T25" s="203">
        <f t="shared" si="5"/>
        <v>30.778600000000001</v>
      </c>
      <c r="U25" s="202">
        <f t="shared" si="6"/>
        <v>30.788600000000002</v>
      </c>
      <c r="V25" s="203">
        <f t="shared" si="7"/>
        <v>36.778600000000004</v>
      </c>
      <c r="W25" s="190">
        <f t="shared" si="8"/>
        <v>36.788600000000002</v>
      </c>
      <c r="X25" s="191">
        <f t="shared" si="9"/>
        <v>44.778599999999997</v>
      </c>
      <c r="Y25" s="190">
        <f t="shared" si="10"/>
        <v>44.788599999999995</v>
      </c>
      <c r="Z25" s="191">
        <f t="shared" si="11"/>
        <v>52.278599999999997</v>
      </c>
    </row>
    <row r="26" spans="1:26" s="36" customFormat="1">
      <c r="P26" s="189" t="s">
        <v>180</v>
      </c>
      <c r="Q26" s="202">
        <f t="shared" si="2"/>
        <v>32.288600000000002</v>
      </c>
      <c r="R26" s="203">
        <f t="shared" si="3"/>
        <v>34.278600000000004</v>
      </c>
      <c r="S26" s="202">
        <f t="shared" si="4"/>
        <v>34.288600000000002</v>
      </c>
      <c r="T26" s="203">
        <f t="shared" si="5"/>
        <v>38.278600000000004</v>
      </c>
      <c r="U26" s="190">
        <f t="shared" si="6"/>
        <v>38.288600000000002</v>
      </c>
      <c r="V26" s="191">
        <f t="shared" si="7"/>
        <v>44.278599999999997</v>
      </c>
      <c r="W26" s="192">
        <f t="shared" si="8"/>
        <v>44.288599999999995</v>
      </c>
      <c r="X26" s="193">
        <f t="shared" si="9"/>
        <v>52.278599999999997</v>
      </c>
      <c r="Y26" s="192">
        <f t="shared" si="10"/>
        <v>52.288599999999995</v>
      </c>
      <c r="Z26" s="193">
        <f t="shared" si="11"/>
        <v>62.278599999999997</v>
      </c>
    </row>
    <row r="27" spans="1:26" s="36" customFormat="1">
      <c r="P27" s="194" t="s">
        <v>186</v>
      </c>
      <c r="Q27" s="204">
        <f t="shared" si="2"/>
        <v>42.288599999999995</v>
      </c>
      <c r="R27" s="199">
        <f t="shared" si="3"/>
        <v>44.278599999999997</v>
      </c>
      <c r="S27" s="195">
        <f t="shared" si="4"/>
        <v>44.288599999999995</v>
      </c>
      <c r="T27" s="196">
        <f t="shared" si="5"/>
        <v>48.278599999999997</v>
      </c>
      <c r="U27" s="197">
        <f t="shared" si="6"/>
        <v>48.288599999999995</v>
      </c>
      <c r="V27" s="198">
        <f t="shared" si="7"/>
        <v>54.278599999999997</v>
      </c>
      <c r="W27" s="197">
        <f t="shared" si="8"/>
        <v>54.288599999999995</v>
      </c>
      <c r="X27" s="198">
        <f t="shared" si="9"/>
        <v>62.278599999999997</v>
      </c>
      <c r="Y27" s="197">
        <f t="shared" si="10"/>
        <v>62.288599999999995</v>
      </c>
      <c r="Z27" s="198">
        <v>66.569999999999993</v>
      </c>
    </row>
    <row r="28" spans="1:26" s="36" customFormat="1"/>
    <row r="29" spans="1:26" s="36" customFormat="1">
      <c r="A29" s="36" t="s">
        <v>203</v>
      </c>
      <c r="C29" s="205">
        <f>+'Modelo de Crédito'!C73</f>
        <v>0.738375</v>
      </c>
      <c r="D29" s="82"/>
    </row>
    <row r="30" spans="1:26" s="36" customFormat="1" ht="16" thickBot="1">
      <c r="A30" s="36" t="s">
        <v>200</v>
      </c>
      <c r="C30" s="47">
        <v>2</v>
      </c>
      <c r="D30" s="83"/>
      <c r="I30" s="215"/>
    </row>
    <row r="31" spans="1:26" s="36" customFormat="1" ht="16" thickBot="1">
      <c r="A31" s="36" t="s">
        <v>204</v>
      </c>
      <c r="C31" s="173" t="s">
        <v>341</v>
      </c>
      <c r="I31" s="215"/>
    </row>
    <row r="32" spans="1:26" s="36" customFormat="1"/>
    <row r="33" spans="2:8" s="36" customFormat="1"/>
    <row r="34" spans="2:8" s="36" customFormat="1"/>
    <row r="35" spans="2:8" s="36" customFormat="1">
      <c r="B35" s="218"/>
      <c r="H35" s="47"/>
    </row>
    <row r="36" spans="2:8" s="36" customFormat="1"/>
    <row r="37" spans="2:8" s="36" customFormat="1"/>
    <row r="38" spans="2:8" s="36" customFormat="1">
      <c r="B38" s="219"/>
    </row>
    <row r="39" spans="2:8" s="36" customFormat="1"/>
    <row r="40" spans="2:8" s="36" customFormat="1"/>
    <row r="41" spans="2:8" s="36" customFormat="1"/>
    <row r="42" spans="2:8" s="36" customFormat="1"/>
    <row r="43" spans="2:8" s="36" customFormat="1"/>
    <row r="44" spans="2:8" s="36" customFormat="1"/>
    <row r="45" spans="2:8" s="36" customFormat="1">
      <c r="B45" s="185"/>
    </row>
    <row r="46" spans="2:8" s="36" customFormat="1">
      <c r="B46" s="185"/>
    </row>
    <row r="47" spans="2:8" s="36" customFormat="1"/>
    <row r="48" spans="2:8" s="36" customFormat="1"/>
    <row r="49" s="36" customFormat="1"/>
    <row r="50" s="36" customFormat="1"/>
    <row r="51" s="36" customFormat="1"/>
    <row r="52" s="36" customFormat="1"/>
    <row r="53" s="36" customFormat="1"/>
    <row r="54" s="36" customFormat="1"/>
    <row r="55" s="36" customFormat="1"/>
    <row r="56" s="36" customFormat="1"/>
    <row r="57" s="36" customFormat="1"/>
    <row r="58" s="36" customFormat="1"/>
    <row r="59" s="36" customFormat="1"/>
    <row r="60" s="36" customFormat="1"/>
    <row r="61" s="36" customFormat="1"/>
    <row r="62" s="36" customFormat="1"/>
    <row r="63" s="36" customFormat="1"/>
    <row r="64" s="36" customFormat="1"/>
    <row r="65" s="36" customFormat="1"/>
    <row r="66" s="36" customFormat="1"/>
    <row r="67" s="36" customFormat="1"/>
    <row r="68" s="36" customFormat="1"/>
    <row r="69" s="36" customFormat="1"/>
    <row r="70" s="36" customFormat="1"/>
    <row r="71" s="36" customFormat="1"/>
    <row r="72" s="36" customFormat="1"/>
    <row r="73" s="36" customFormat="1"/>
    <row r="74" s="36" customFormat="1"/>
    <row r="75" s="36" customFormat="1"/>
    <row r="76" s="36" customFormat="1"/>
    <row r="77" s="36" customFormat="1"/>
    <row r="78" s="36" customFormat="1"/>
    <row r="79" s="36" customFormat="1"/>
    <row r="80" s="36" customFormat="1"/>
    <row r="81" s="36" customFormat="1"/>
    <row r="82" s="36" customFormat="1"/>
    <row r="83" s="36" customFormat="1"/>
    <row r="84" s="36" customFormat="1"/>
    <row r="85" s="36" customFormat="1"/>
    <row r="86" s="36" customFormat="1"/>
    <row r="87" s="36" customFormat="1"/>
    <row r="88" s="36" customFormat="1"/>
    <row r="89" s="36" customFormat="1"/>
    <row r="90" s="36" customFormat="1"/>
    <row r="91" s="36" customFormat="1"/>
    <row r="92" s="36" customFormat="1"/>
    <row r="93" s="36" customFormat="1"/>
    <row r="94" s="36" customFormat="1"/>
    <row r="95" s="36" customFormat="1"/>
    <row r="96" s="36" customFormat="1"/>
    <row r="97" s="36" customFormat="1"/>
    <row r="98" s="36" customFormat="1"/>
    <row r="99" s="36" customFormat="1"/>
    <row r="100" s="36" customFormat="1"/>
    <row r="101" s="36" customFormat="1"/>
    <row r="102" s="36" customFormat="1"/>
    <row r="103" s="36" customFormat="1"/>
    <row r="104" s="36" customFormat="1"/>
    <row r="105" s="36" customFormat="1"/>
    <row r="106" s="36" customFormat="1"/>
    <row r="107" s="36" customFormat="1"/>
    <row r="108" s="36" customFormat="1"/>
    <row r="109" s="36" customFormat="1"/>
    <row r="110" s="36" customFormat="1"/>
    <row r="111" s="36" customFormat="1"/>
    <row r="112" s="36" customFormat="1"/>
    <row r="113" s="36" customFormat="1"/>
    <row r="114" s="36" customFormat="1"/>
    <row r="115" s="36" customFormat="1"/>
    <row r="116" s="36" customFormat="1"/>
    <row r="117" s="36" customFormat="1"/>
    <row r="118" s="36" customFormat="1"/>
    <row r="119" s="36" customFormat="1"/>
    <row r="120" s="36" customFormat="1"/>
    <row r="121" s="36" customFormat="1"/>
    <row r="122" s="36" customFormat="1"/>
    <row r="123" s="36" customFormat="1"/>
    <row r="124" s="36" customFormat="1"/>
    <row r="125" s="36" customFormat="1"/>
    <row r="126" s="36" customFormat="1"/>
    <row r="127" s="36" customFormat="1"/>
    <row r="128" s="36" customFormat="1"/>
    <row r="129" s="36" customFormat="1"/>
    <row r="130" s="36" customFormat="1"/>
    <row r="131" s="36" customFormat="1"/>
    <row r="132" s="36" customFormat="1"/>
    <row r="133" s="36" customFormat="1"/>
    <row r="134" s="36" customFormat="1"/>
    <row r="135" s="36" customFormat="1"/>
    <row r="136" s="36" customFormat="1"/>
    <row r="137" s="36" customFormat="1"/>
    <row r="138" s="36" customFormat="1"/>
    <row r="139" s="36" customFormat="1"/>
    <row r="140" s="36" customFormat="1"/>
    <row r="141" s="36" customFormat="1"/>
    <row r="142" s="36" customFormat="1"/>
    <row r="143" s="36" customFormat="1"/>
    <row r="144" s="36" customFormat="1"/>
    <row r="145" s="36" customFormat="1"/>
    <row r="146" s="36" customFormat="1"/>
    <row r="147" s="36" customFormat="1"/>
    <row r="148" s="36" customFormat="1"/>
    <row r="149" s="36" customFormat="1"/>
    <row r="150" s="36" customFormat="1"/>
    <row r="151" s="36" customFormat="1"/>
    <row r="152" s="36" customFormat="1"/>
    <row r="153" s="36" customFormat="1"/>
    <row r="154" s="36" customFormat="1"/>
    <row r="155" s="36" customFormat="1"/>
    <row r="156" s="36" customFormat="1"/>
    <row r="157" s="36" customFormat="1"/>
    <row r="158" s="36" customFormat="1"/>
    <row r="159" s="36" customFormat="1"/>
    <row r="160" s="36" customFormat="1"/>
    <row r="161" s="36" customFormat="1"/>
    <row r="162" s="36" customFormat="1"/>
    <row r="163" s="36" customFormat="1"/>
    <row r="164" s="36" customFormat="1"/>
    <row r="165" s="36" customFormat="1"/>
    <row r="166" s="36" customFormat="1"/>
    <row r="167" s="36" customFormat="1"/>
    <row r="168" s="36" customFormat="1"/>
    <row r="169" s="36" customFormat="1"/>
    <row r="170" s="36" customFormat="1"/>
    <row r="171" s="36" customFormat="1"/>
    <row r="172" s="36" customFormat="1"/>
  </sheetData>
  <mergeCells count="13">
    <mergeCell ref="C19:G19"/>
    <mergeCell ref="A1:G1"/>
    <mergeCell ref="C3:G3"/>
    <mergeCell ref="A5:A9"/>
    <mergeCell ref="C11:G11"/>
    <mergeCell ref="A13:A17"/>
    <mergeCell ref="Q19:Y19"/>
    <mergeCell ref="P21:P22"/>
    <mergeCell ref="Q21:R21"/>
    <mergeCell ref="S21:T21"/>
    <mergeCell ref="U21:V21"/>
    <mergeCell ref="W21:X21"/>
    <mergeCell ref="Y21:Z21"/>
  </mergeCells>
  <pageMargins left="0.7" right="0.7" top="0.75" bottom="0.75" header="0.3" footer="0.3"/>
  <pageSetup orientation="portrait" r:id="rId1"/>
  <ignoredErrors>
    <ignoredError sqref="S23:X27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Du Pont</vt:lpstr>
      <vt:lpstr>Analiticas</vt:lpstr>
      <vt:lpstr>BG</vt:lpstr>
      <vt:lpstr>ER</vt:lpstr>
      <vt:lpstr>RF</vt:lpstr>
      <vt:lpstr>Modelo de Crédito</vt:lpstr>
      <vt:lpstr>Matriz de Credito y Tasas</vt:lpstr>
      <vt:lpstr>'Modelo de Crédito'!Área_de_impresión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Leonor Villarreal Carlos</dc:creator>
  <cp:keywords/>
  <dc:description/>
  <cp:lastModifiedBy>Edgar Martinez</cp:lastModifiedBy>
  <cp:revision/>
  <cp:lastPrinted>2025-02-18T23:46:20Z</cp:lastPrinted>
  <dcterms:created xsi:type="dcterms:W3CDTF">2016-06-08T20:12:04Z</dcterms:created>
  <dcterms:modified xsi:type="dcterms:W3CDTF">2026-01-15T17:59:36Z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